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\Downloads\"/>
    </mc:Choice>
  </mc:AlternateContent>
  <xr:revisionPtr revIDLastSave="0" documentId="13_ncr:1_{8A619AED-2DD8-4A2A-A8B6-736C4DE302C0}" xr6:coauthVersionLast="47" xr6:coauthVersionMax="47" xr10:uidLastSave="{00000000-0000-0000-0000-000000000000}"/>
  <bookViews>
    <workbookView xWindow="-110" yWindow="-110" windowWidth="25180" windowHeight="16860" xr2:uid="{00000000-000D-0000-FFFF-FFFF00000000}"/>
  </bookViews>
  <sheets>
    <sheet name="Cotizacion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1" i="1" l="1"/>
  <c r="L20" i="1"/>
  <c r="L19" i="1"/>
  <c r="L33" i="1" l="1"/>
  <c r="M33" i="1"/>
  <c r="L25" i="1" l="1"/>
  <c r="L26" i="1"/>
  <c r="L27" i="1"/>
  <c r="L29" i="1"/>
  <c r="L30" i="1"/>
  <c r="L32" i="1"/>
  <c r="L34" i="1"/>
  <c r="L36" i="1" l="1"/>
  <c r="L37" i="1" s="1"/>
  <c r="M19" i="1"/>
  <c r="M20" i="1"/>
  <c r="M21" i="1"/>
  <c r="M22" i="1"/>
  <c r="M23" i="1"/>
  <c r="M25" i="1"/>
  <c r="M26" i="1"/>
  <c r="M27" i="1"/>
  <c r="M29" i="1"/>
  <c r="M30" i="1"/>
  <c r="M32" i="1"/>
  <c r="M34" i="1"/>
  <c r="L38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<sst xmlns="http://schemas.openxmlformats.org/spreadsheetml/2006/main" count="86" uniqueCount="83">
  <si>
    <t>Importe</t>
  </si>
  <si>
    <t>Precio Unitario</t>
  </si>
  <si>
    <t>Cantidad</t>
  </si>
  <si>
    <r>
      <t>Sub</t>
    </r>
    <r>
      <rPr>
        <sz val="11"/>
        <color rgb="FF000000"/>
        <rFont val="Consolas"/>
        <family val="3"/>
      </rPr>
      <t> EnvioEmail_HojaActiva_comoPDF()</t>
    </r>
  </si>
  <si>
    <r>
      <t>Dim</t>
    </r>
    <r>
      <rPr>
        <sz val="11"/>
        <color rgb="FF000000"/>
        <rFont val="Consolas"/>
        <family val="3"/>
      </rPr>
      <t> olApp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</si>
  <si>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olMail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</si>
  <si>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RutaTemporal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NombreFicheroTemporal 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RutaCompleta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</si>
  <si>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'deshabilitamos el refresco de pantalla</t>
  </si>
  <si>
    <t>'y muy importante los eventos!</t>
  </si>
  <si>
    <r>
      <t>With</t>
    </r>
    <r>
      <rPr>
        <sz val="11"/>
        <color rgb="FF000000"/>
        <rFont val="Consolas"/>
        <family val="3"/>
      </rPr>
      <t> Application</t>
    </r>
  </si>
  <si>
    <r>
      <t>    .ScreenUpdating = </t>
    </r>
    <r>
      <rPr>
        <b/>
        <sz val="11"/>
        <color rgb="FF006699"/>
        <rFont val="Consolas"/>
        <family val="3"/>
      </rPr>
      <t>False</t>
    </r>
  </si>
  <si>
    <r>
      <t>    .EnableEvents = </t>
    </r>
    <r>
      <rPr>
        <b/>
        <sz val="11"/>
        <color rgb="FF006699"/>
        <rFont val="Consolas"/>
        <family val="3"/>
      </rPr>
      <t>False</t>
    </r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</si>
  <si>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With</t>
    </r>
  </si>
  <si>
    <t>'Definimos una variable que será la Ruta donde guardaremos,</t>
  </si>
  <si>
    <t>'antes de enviar como adjunto, el pdf que generaremos...</t>
  </si>
  <si>
    <r>
      <t>RutaTemporal = Environ$(</t>
    </r>
    <r>
      <rPr>
        <sz val="11"/>
        <color rgb="FF0000FF"/>
        <rFont val="Consolas"/>
        <family val="3"/>
      </rPr>
      <t>"temp"</t>
    </r>
    <r>
      <rPr>
        <sz val="11"/>
        <color rgb="FF000000"/>
        <rFont val="Consolas"/>
        <family val="3"/>
      </rPr>
      <t>) &amp; "\"</t>
    </r>
  </si>
  <si>
    <t>'Generamos el nombre del fichero temporal .Pdf</t>
  </si>
  <si>
    <r>
      <t>NombreFicheroTemporal = ActiveSheet.Name &amp; </t>
    </r>
    <r>
      <rPr>
        <sz val="11"/>
        <color rgb="FF0000FF"/>
        <rFont val="Consolas"/>
        <family val="3"/>
      </rPr>
      <t>".pdf"</t>
    </r>
  </si>
  <si>
    <t>'Combinando las dos variables anteriores, tendremos la Ruta Completa de nuestro .pdf</t>
  </si>
  <si>
    <t>RutaCompleta = RutaTemporal &amp; NombreFicheroTemporal</t>
  </si>
  <si>
    <t>'Depuramos posibles errores a la hora de Exportar</t>
  </si>
  <si>
    <t>' a la ruta anterior, la hoja activa como PDF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</si>
  <si>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err</t>
    </r>
  </si>
  <si>
    <t>ActiveSheet.ExportAsFixedFormat _</t>
  </si>
  <si>
    <t>        Type:=xlTypePDF, _</t>
  </si>
  <si>
    <t>        Filename:=RutaCompleta, _</t>
  </si>
  <si>
    <t>        Quality:=xlQualityStandard, _</t>
  </si>
  <si>
    <r>
      <t>        IncludeDocProperties:=</t>
    </r>
    <r>
      <rPr>
        <b/>
        <sz val="11"/>
        <color rgb="FF006699"/>
        <rFont val="Consolas"/>
        <family val="3"/>
      </rPr>
      <t>True</t>
    </r>
    <r>
      <rPr>
        <sz val="11"/>
        <color rgb="FF000000"/>
        <rFont val="Consolas"/>
        <family val="3"/>
      </rPr>
      <t>, _</t>
    </r>
  </si>
  <si>
    <r>
      <t>        IgnorePrintAreas:=</t>
    </r>
    <r>
      <rPr>
        <b/>
        <sz val="11"/>
        <color rgb="FF006699"/>
        <rFont val="Consolas"/>
        <family val="3"/>
      </rPr>
      <t>False</t>
    </r>
    <r>
      <rPr>
        <sz val="11"/>
        <color rgb="FF000000"/>
        <rFont val="Consolas"/>
        <family val="3"/>
      </rPr>
      <t>, _</t>
    </r>
  </si>
  <si>
    <r>
      <t>        OpenAfterPublish:=</t>
    </r>
    <r>
      <rPr>
        <b/>
        <sz val="11"/>
        <color rgb="FF006699"/>
        <rFont val="Consolas"/>
        <family val="3"/>
      </rPr>
      <t>False</t>
    </r>
  </si>
  <si>
    <t>'LLega el momento de abrir la aplicación Outlook</t>
  </si>
  <si>
    <r>
      <t>Set</t>
    </r>
    <r>
      <rPr>
        <sz val="11"/>
        <color rgb="FF000000"/>
        <rFont val="Consolas"/>
        <family val="3"/>
      </rPr>
      <t> olApp = CreateObject(</t>
    </r>
    <r>
      <rPr>
        <sz val="11"/>
        <color rgb="FF0000FF"/>
        <rFont val="Consolas"/>
        <family val="3"/>
      </rPr>
      <t>"Outlook.Application"</t>
    </r>
    <r>
      <rPr>
        <sz val="11"/>
        <color rgb="FF000000"/>
        <rFont val="Consolas"/>
        <family val="3"/>
      </rPr>
      <t>)</t>
    </r>
  </si>
  <si>
    <t>'y generar un nuevo email a enviar...</t>
  </si>
  <si>
    <r>
      <t>Set</t>
    </r>
    <r>
      <rPr>
        <sz val="11"/>
        <color rgb="FF000000"/>
        <rFont val="Consolas"/>
        <family val="3"/>
      </rPr>
      <t> olMail = olApp.CreateItem(0)</t>
    </r>
  </si>
  <si>
    <r>
      <t>Dim</t>
    </r>
    <r>
      <rPr>
        <sz val="11"/>
        <color rgb="FF000000"/>
        <rFont val="Consolas"/>
        <family val="3"/>
      </rPr>
      <t> destinatario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Asunto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Cuerpo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</si>
  <si>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'FALTA ASIGNAR VALORES A ESTAS VARIABLES!!!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</si>
  <si>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Resume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Next</t>
    </r>
  </si>
  <si>
    <r>
      <t>With</t>
    </r>
    <r>
      <rPr>
        <sz val="11"/>
        <color rgb="FF000000"/>
        <rFont val="Consolas"/>
        <family val="3"/>
      </rPr>
      <t> olMail</t>
    </r>
  </si>
  <si>
    <r>
      <t>    .to = destinatario          </t>
    </r>
    <r>
      <rPr>
        <sz val="11"/>
        <color rgb="FF008200"/>
        <rFont val="Consolas"/>
        <family val="3"/>
      </rPr>
      <t>'añadimos el destinatario, el Para...</t>
    </r>
  </si>
  <si>
    <r>
      <t>    </t>
    </r>
    <r>
      <rPr>
        <sz val="11"/>
        <color rgb="FF008200"/>
        <rFont val="Consolas"/>
        <family val="3"/>
      </rPr>
      <t>'.CC = destinatario         'para adjuntar destinatario en Con Copia a...</t>
    </r>
  </si>
  <si>
    <r>
      <t>    </t>
    </r>
    <r>
      <rPr>
        <sz val="11"/>
        <color rgb="FF008200"/>
        <rFont val="Consolas"/>
        <family val="3"/>
      </rPr>
      <t>'.BCC = destinatario        'para adjuntar destinatario en Con Copia Oculta a...</t>
    </r>
  </si>
  <si>
    <r>
      <t>    .Subject = Asunto        </t>
    </r>
    <r>
      <rPr>
        <sz val="11"/>
        <color rgb="FF008200"/>
        <rFont val="Consolas"/>
        <family val="3"/>
      </rPr>
      <t>'indicaríamos el Asunto</t>
    </r>
  </si>
  <si>
    <r>
      <t>    .Body = Cuerpo           </t>
    </r>
    <r>
      <rPr>
        <sz val="11"/>
        <color rgb="FF008200"/>
        <rFont val="Consolas"/>
        <family val="3"/>
      </rPr>
      <t>'indicaríamos el Cuerpo del email</t>
    </r>
  </si>
  <si>
    <r>
      <t>    </t>
    </r>
    <r>
      <rPr>
        <sz val="11"/>
        <color rgb="FF008200"/>
        <rFont val="Consolas"/>
        <family val="3"/>
      </rPr>
      <t>'adjuntamos el fichero pdf desde la ruta donde la guardamos</t>
    </r>
  </si>
  <si>
    <t>    .Attachments.Add RutaCompleta</t>
  </si>
  <si>
    <r>
      <t>    .Display    </t>
    </r>
    <r>
      <rPr>
        <sz val="11"/>
        <color rgb="FF008200"/>
        <rFont val="Consolas"/>
        <family val="3"/>
      </rPr>
      <t>'o bien usaremos .Send para enviar directamente...</t>
    </r>
  </si>
  <si>
    <r>
      <t>    </t>
    </r>
    <r>
      <rPr>
        <sz val="11"/>
        <color rgb="FF008200"/>
        <rFont val="Consolas"/>
        <family val="3"/>
      </rPr>
      <t>'.Send</t>
    </r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</si>
  <si>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0</t>
    </r>
  </si>
  <si>
    <t>'Ya que el email ha sido enviado (o mostrado) con el pdf adjuntado</t>
  </si>
  <si>
    <t>'podemos borrar el pdf que habíamos guardado (en la carpeta temporal)...</t>
  </si>
  <si>
    <t>Kill RutaCompleta</t>
  </si>
  <si>
    <t>'limpiamos las variables creadas.</t>
  </si>
  <si>
    <r>
      <t>Set</t>
    </r>
    <r>
      <rPr>
        <sz val="11"/>
        <color rgb="FF000000"/>
        <rFont val="Consolas"/>
        <family val="3"/>
      </rPr>
      <t> olMail = </t>
    </r>
    <r>
      <rPr>
        <b/>
        <sz val="11"/>
        <color rgb="FF006699"/>
        <rFont val="Consolas"/>
        <family val="3"/>
      </rPr>
      <t>Nothing</t>
    </r>
  </si>
  <si>
    <r>
      <t>Set</t>
    </r>
    <r>
      <rPr>
        <sz val="11"/>
        <color rgb="FF000000"/>
        <rFont val="Consolas"/>
        <family val="3"/>
      </rPr>
      <t> olApp = </t>
    </r>
    <r>
      <rPr>
        <b/>
        <sz val="11"/>
        <color rgb="FF006699"/>
        <rFont val="Consolas"/>
        <family val="3"/>
      </rPr>
      <t>Nothing</t>
    </r>
  </si>
  <si>
    <t>'Reestablecemos las condiciones prevías</t>
  </si>
  <si>
    <t>'refresco de pantalla y activamos loe eventos</t>
  </si>
  <si>
    <r>
      <t>    .ScreenUpdating = </t>
    </r>
    <r>
      <rPr>
        <b/>
        <sz val="11"/>
        <color rgb="FF006699"/>
        <rFont val="Consolas"/>
        <family val="3"/>
      </rPr>
      <t>True</t>
    </r>
  </si>
  <si>
    <r>
      <t>    .EnableEvents = </t>
    </r>
    <r>
      <rPr>
        <b/>
        <sz val="11"/>
        <color rgb="FF006699"/>
        <rFont val="Consolas"/>
        <family val="3"/>
      </rPr>
      <t>True</t>
    </r>
  </si>
  <si>
    <r>
      <t>Exit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</si>
  <si>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'para el control de errores en caso de exportación como Pdf...</t>
  </si>
  <si>
    <t>err:</t>
  </si>
  <si>
    <t>    MsgBox err.Description</t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</si>
  <si>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</si>
  <si>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Tiempo de Entrega:</t>
  </si>
  <si>
    <t>Evite Imprimir este documento si no es necesario. De esta manera Ahorra Recursos. 
Cuidamos EL medio ambiente</t>
  </si>
  <si>
    <t>Esterline Advanced Sensors Mexico S. de R.L. de C.V.</t>
  </si>
  <si>
    <t>Descripción</t>
  </si>
  <si>
    <t>Evite imprimir este documento si no es necesario, de esta manera ahorra recursos. Cuidemos el Medio ambiente.</t>
  </si>
  <si>
    <t>ORDEN DE COMPRA</t>
  </si>
  <si>
    <t>Num. OC</t>
  </si>
  <si>
    <t>Fecha</t>
  </si>
  <si>
    <t>Cot. #</t>
  </si>
  <si>
    <t>Total</t>
  </si>
  <si>
    <t>IVA %</t>
  </si>
  <si>
    <t>Gran Total</t>
  </si>
  <si>
    <r>
      <rPr>
        <b/>
        <sz val="11"/>
        <color theme="1"/>
        <rFont val="Calibri"/>
        <family val="2"/>
        <scheme val="minor"/>
      </rPr>
      <t>Favor de Entregar: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4" tint="-0.249977111117893"/>
        <rFont val="Calibri"/>
        <family val="2"/>
        <scheme val="minor"/>
      </rPr>
      <t>INGENIERIA DISEÑO Y MAQUINADO</t>
    </r>
    <r>
      <rPr>
        <sz val="11"/>
        <color theme="1"/>
        <rFont val="Calibri"/>
        <family val="2"/>
        <scheme val="minor"/>
      </rPr>
      <t xml:space="preserve">
José Angel Remigio Guerrero Timal
RFC: GUTA580927-QW6</t>
    </r>
  </si>
  <si>
    <t>C. Lázaro Cárdenas #4559 
Col. Gabriel Rodríguez CP 22207 
Tijuana B.C.
Tel/Fax: 661 72 51</t>
  </si>
  <si>
    <t>Marcas y representaciones SA. de CV.</t>
  </si>
  <si>
    <t>RFC.  123456789000</t>
  </si>
  <si>
    <t xml:space="preserve">Manuel J. Clouthier #18375-3  </t>
  </si>
  <si>
    <t xml:space="preserve">Tijuana B.C. CP.22216 </t>
  </si>
  <si>
    <t>TEL.664 866-6639</t>
  </si>
  <si>
    <r>
      <t xml:space="preserve">Proveedor
</t>
    </r>
    <r>
      <rPr>
        <b/>
        <sz val="10"/>
        <color theme="4" tint="-0.249977111117893"/>
        <rFont val="Calibri"/>
        <family val="2"/>
        <scheme val="minor"/>
      </rPr>
      <t xml:space="preserve">
</t>
    </r>
    <r>
      <rPr>
        <b/>
        <sz val="10"/>
        <color theme="1"/>
        <rFont val="Calibri"/>
        <family val="2"/>
        <scheme val="minor"/>
      </rPr>
      <t xml:space="preserve">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</si>
</sst>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AFAFAF"/>
      <name val="Consolas"/>
      <family val="3"/>
    </font>
    <font>
      <b/>
      <sz val="11"/>
      <color rgb="FF006699"/>
      <name val="Consolas"/>
      <family val="3"/>
    </font>
    <font>
      <sz val="11"/>
      <color rgb="FF008200"/>
      <name val="Consolas"/>
      <family val="3"/>
    </font>
    <font>
      <sz val="11"/>
      <color rgb="FF0000FF"/>
      <name val="Consolas"/>
      <family val="3"/>
    </font>
    <font>
      <b/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4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ck">
        <color rgb="FF6CE26C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14999847407452621"/>
      </right>
      <top/>
      <bottom style="thin">
        <color theme="0" tint="-0.249977111117893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4" fillId="0" borderId="0" xfId="0" applyFont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10" fillId="0" borderId="0" xfId="0" applyFont="1"/>
    <xf numFmtId="0" fontId="11" fillId="0" borderId="0" xfId="0" applyFont="1" applyAlignment="1">
      <alignment horizontal="right"/>
    </xf>
    <xf numFmtId="164" fontId="0" fillId="0" borderId="4" xfId="0" applyNumberFormat="1" applyBorder="1"/>
    <xf numFmtId="0" fontId="0" fillId="0" borderId="6" xfId="0" applyBorder="1"/>
    <xf numFmtId="164" fontId="0" fillId="0" borderId="7" xfId="0" applyNumberFormat="1" applyBorder="1"/>
    <xf numFmtId="12" fontId="0" fillId="0" borderId="0" xfId="0" applyNumberFormat="1"/>
    <xf numFmtId="0" fontId="0" fillId="0" borderId="4" xfId="0" applyBorder="1" applyAlignment="1" applyProtection="1">
      <alignment horizontal="right"/>
      <protection locked="0"/>
    </xf>
    <xf numFmtId="0" fontId="0" fillId="0" borderId="5" xfId="0" applyBorder="1" applyAlignment="1" applyProtection="1">
      <alignment horizontal="left"/>
      <protection locked="0"/>
    </xf>
    <xf numFmtId="164" fontId="0" fillId="0" borderId="4" xfId="0" applyNumberFormat="1" applyBorder="1" applyProtection="1">
      <protection locked="0"/>
    </xf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Alignment="1" applyProtection="1">
      <alignment horizontal="right"/>
      <protection locked="0"/>
    </xf>
    <xf numFmtId="164" fontId="0" fillId="0" borderId="7" xfId="0" applyNumberFormat="1" applyBorder="1" applyProtection="1">
      <protection locked="0"/>
    </xf>
    <xf numFmtId="0" fontId="10" fillId="0" borderId="0" xfId="0" applyFont="1" applyAlignment="1">
      <alignment horizontal="left"/>
    </xf>
    <xf numFmtId="0" fontId="0" fillId="0" borderId="0" xfId="0" applyAlignment="1">
      <alignment wrapText="1"/>
    </xf>
    <xf numFmtId="0" fontId="12" fillId="0" borderId="0" xfId="0" applyFont="1"/>
    <xf numFmtId="0" fontId="0" fillId="0" borderId="8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top" wrapText="1"/>
      <protection locked="0"/>
    </xf>
    <xf numFmtId="49" fontId="0" fillId="0" borderId="0" xfId="0" applyNumberFormat="1" applyProtection="1">
      <protection locked="0"/>
    </xf>
    <xf numFmtId="0" fontId="0" fillId="0" borderId="0" xfId="0" applyAlignment="1">
      <alignment vertical="top"/>
    </xf>
    <xf numFmtId="0" fontId="0" fillId="0" borderId="0" xfId="0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4" fontId="0" fillId="0" borderId="0" xfId="0" applyNumberFormat="1"/>
    <xf numFmtId="0" fontId="11" fillId="0" borderId="0" xfId="0" applyFont="1"/>
    <xf numFmtId="164" fontId="10" fillId="0" borderId="0" xfId="0" applyNumberFormat="1" applyFont="1" applyAlignment="1" applyProtection="1">
      <alignment horizontal="left"/>
      <protection locked="0"/>
    </xf>
    <xf numFmtId="0" fontId="8" fillId="0" borderId="0" xfId="0" applyFont="1" applyAlignment="1" applyProtection="1">
      <alignment horizontal="right"/>
      <protection locked="0"/>
    </xf>
    <xf numFmtId="164" fontId="15" fillId="0" borderId="3" xfId="0" applyNumberFormat="1" applyFont="1" applyBorder="1"/>
    <xf numFmtId="164" fontId="15" fillId="0" borderId="18" xfId="0" applyNumberFormat="1" applyFont="1" applyBorder="1"/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4" xfId="0" applyBorder="1"/>
    <xf numFmtId="0" fontId="0" fillId="0" borderId="22" xfId="0" applyBorder="1"/>
    <xf numFmtId="0" fontId="9" fillId="0" borderId="0" xfId="0" applyFont="1"/>
    <xf numFmtId="49" fontId="0" fillId="0" borderId="23" xfId="0" applyNumberFormat="1" applyBorder="1"/>
    <xf numFmtId="49" fontId="0" fillId="0" borderId="23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4" borderId="30" xfId="0" applyNumberFormat="1" applyFill="1" applyBorder="1" applyAlignment="1">
      <alignment horizontal="center"/>
    </xf>
    <xf numFmtId="49" fontId="0" fillId="4" borderId="31" xfId="0" applyNumberFormat="1" applyFill="1" applyBorder="1" applyAlignment="1">
      <alignment horizontal="center"/>
    </xf>
    <xf numFmtId="49" fontId="0" fillId="4" borderId="32" xfId="0" applyNumberFormat="1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0" xfId="0" applyAlignment="1">
      <alignment horizontal="right" vertical="top" wrapText="1"/>
    </xf>
    <xf numFmtId="0" fontId="0" fillId="0" borderId="0" xfId="0" applyAlignment="1">
      <alignment horizontal="right" vertical="top"/>
    </xf>
    <xf numFmtId="0" fontId="16" fillId="0" borderId="0" xfId="0" applyFont="1" applyAlignment="1">
      <alignment horizontal="center" vertical="top" wrapText="1"/>
    </xf>
    <xf numFmtId="0" fontId="0" fillId="0" borderId="6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0" fontId="1" fillId="3" borderId="28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0" xfId="0" applyBorder="1" applyAlignment="1">
      <alignment horizontal="center"/>
    </xf>
    <xf numFmtId="14" fontId="0" fillId="0" borderId="16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4" borderId="25" xfId="0" applyFill="1" applyBorder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0" fontId="0" fillId="4" borderId="22" xfId="0" applyFill="1" applyBorder="1" applyAlignment="1">
      <alignment horizontal="left" vertical="top" wrapText="1"/>
    </xf>
    <xf numFmtId="0" fontId="0" fillId="0" borderId="0" xfId="0" applyAlignment="1" applyProtection="1">
      <alignment horizontal="left" wrapText="1"/>
      <protection locked="0"/>
    </xf>
    <xf numFmtId="0" fontId="0" fillId="0" borderId="5" xfId="0" applyBorder="1" applyAlignment="1" applyProtection="1">
      <alignment horizontal="left" wrapText="1"/>
      <protection locked="0"/>
    </xf>
    <xf numFmtId="0" fontId="14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" fillId="2" borderId="3" xfId="0" applyFont="1" applyFill="1" applyBorder="1" applyAlignment="1">
      <alignment horizontal="center"/>
    </xf>
    <xf numFmtId="0" fontId="13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0" fillId="0" borderId="0" xfId="0" applyAlignment="1">
      <alignment horizontal="left"/>
    </xf>
    <xf numFmtId="0" fontId="15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horizontal="left" vertical="top" wrapText="1"/>
      <protection locked="0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 applyProtection="1">
      <alignment horizontal="justify" vertical="top" wrapText="1"/>
      <protection locked="0"/>
    </xf>
    <xf numFmtId="0" fontId="0" fillId="0" borderId="9" xfId="0" applyBorder="1" applyAlignment="1" applyProtection="1">
      <alignment horizontal="justify"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0" borderId="5" xfId="0" applyBorder="1" applyAlignment="1" applyProtection="1">
      <alignment vertical="top" wrapText="1"/>
      <protection locked="0"/>
    </xf>
    <xf numFmtId="0" fontId="0" fillId="0" borderId="0" xfId="0" applyAlignment="1" applyProtection="1">
      <alignment horizontal="justify" vertical="top" wrapText="1"/>
      <protection locked="0"/>
    </xf>
    <xf numFmtId="0" fontId="0" fillId="0" borderId="5" xfId="0" applyBorder="1" applyAlignment="1" applyProtection="1">
      <alignment horizontal="justify" vertical="top" wrapText="1"/>
      <protection locked="0"/>
    </xf>
    <xf numFmtId="0" fontId="9" fillId="0" borderId="25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9" fillId="4" borderId="26" xfId="0" applyFont="1" applyFill="1" applyBorder="1" applyAlignment="1">
      <alignment horizontal="left" vertical="top" wrapText="1"/>
    </xf>
    <xf numFmtId="0" fontId="19" fillId="4" borderId="27" xfId="0" applyFont="1" applyFill="1" applyBorder="1" applyAlignment="1">
      <alignment horizontal="left" vertical="top" wrapText="1"/>
    </xf>
    <xf numFmtId="0" fontId="19" fillId="4" borderId="22" xfId="0" applyFont="1" applyFill="1" applyBorder="1" applyAlignment="1">
      <alignment horizontal="left" vertical="top" wrapText="1"/>
    </xf>
    <xf numFmtId="0" fontId="20" fillId="4" borderId="25" xfId="0" applyFont="1" applyFill="1" applyBorder="1" applyAlignment="1">
      <alignment horizontal="left" vertical="top" wrapText="1"/>
    </xf>
    <xf numFmtId="0" fontId="20" fillId="4" borderId="0" xfId="0" applyFont="1" applyFill="1" applyAlignment="1">
      <alignment horizontal="left" vertical="top" wrapText="1"/>
    </xf>
    <xf numFmtId="0" fontId="20" fillId="4" borderId="22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400050</xdr:colOff>
      <xdr:row>1</xdr:row>
      <xdr:rowOff>114300</xdr:rowOff>
    </xdr:from>
    <xdr:to>
      <xdr:col>16</xdr:col>
      <xdr:colOff>218930</xdr:colOff>
      <xdr:row>4</xdr:row>
      <xdr:rowOff>145967</xdr:rowOff>
    </xdr:to>
    <xdr:pic macro="[0]!CreaPDF">
      <xdr:nvPicPr>
        <xdr:cNvPr id="4" name="Picture 3">
          <a:extLst>
            <a:ext uri="{FF2B5EF4-FFF2-40B4-BE49-F238E27FC236}">
              <a16:creationId xmlns:a16="http://schemas.microsoft.com/office/drawing/2014/main" id="{37F39C55-A5A3-4337-BD2D-07D805CE9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91500" y="990600"/>
          <a:ext cx="476105" cy="61269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  <xdr:twoCellAnchor editAs="oneCell">
    <xdr:from>
      <xdr:col>15</xdr:col>
      <xdr:colOff>409576</xdr:colOff>
      <xdr:row>0</xdr:row>
      <xdr:rowOff>152400</xdr:rowOff>
    </xdr:from>
    <xdr:to>
      <xdr:col>16</xdr:col>
      <xdr:colOff>226233</xdr:colOff>
      <xdr:row>0</xdr:row>
      <xdr:rowOff>695325</xdr:rowOff>
    </xdr:to>
    <xdr:pic macro="[0]!GuardarComo">
      <xdr:nvPicPr>
        <xdr:cNvPr id="2" name="Picture 1">
          <a:extLst>
            <a:ext uri="{FF2B5EF4-FFF2-40B4-BE49-F238E27FC236}">
              <a16:creationId xmlns:a16="http://schemas.microsoft.com/office/drawing/2014/main" id="{9371077C-9F57-4B73-AC39-1A2E3DDDD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01026" y="152400"/>
          <a:ext cx="473882" cy="542925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 fPrintsWithSheet="0"/>
  </xdr:twoCellAnchor>
  <xdr:twoCellAnchor editAs="oneCell">
    <xdr:from>
      <xdr:col>11</xdr:col>
      <xdr:colOff>885826</xdr:colOff>
      <xdr:row>42</xdr:row>
      <xdr:rowOff>209550</xdr:rowOff>
    </xdr:from>
    <xdr:to>
      <xdr:col>12</xdr:col>
      <xdr:colOff>23814</xdr:colOff>
      <xdr:row>44</xdr:row>
      <xdr:rowOff>110490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4BC8A27-AF17-463F-8189-AA09E1F3D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6" y="8667750"/>
          <a:ext cx="261938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422276</xdr:colOff>
      <xdr:row>6</xdr:row>
      <xdr:rowOff>12700</xdr:rowOff>
    </xdr:from>
    <xdr:to>
      <xdr:col>16</xdr:col>
      <xdr:colOff>238933</xdr:colOff>
      <xdr:row>9</xdr:row>
      <xdr:rowOff>66675</xdr:rowOff>
    </xdr:to>
    <xdr:pic macro="[0]!Sheet1.GuardarCopiaComoXLSX">
      <xdr:nvPicPr>
        <xdr:cNvPr id="5" name="Picture 4">
          <a:extLst>
            <a:ext uri="{FF2B5EF4-FFF2-40B4-BE49-F238E27FC236}">
              <a16:creationId xmlns:a16="http://schemas.microsoft.com/office/drawing/2014/main" id="{C401098C-2EAF-F71B-9AA3-BC8760121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89926" y="1854200"/>
          <a:ext cx="438957" cy="542925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8</xdr:row>
      <xdr:rowOff>476250</xdr:rowOff>
    </xdr:from>
    <xdr:to>
      <xdr:col>6</xdr:col>
      <xdr:colOff>70555</xdr:colOff>
      <xdr:row>8</xdr:row>
      <xdr:rowOff>1238250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FB74A6-E44D-4F22-BD96-379EBB086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43625" y="2000250"/>
          <a:ext cx="832555" cy="7620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  <v>pasted-image</v>
  </rv>
  <rv s="0">
    <v>1</v>
    <v>5</v>
    <v>pasted-image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5"/>
  <sheetViews>
    <sheetView tabSelected="1" view="pageLayout" zoomScale="90" zoomScaleNormal="100" zoomScalePageLayoutView="90" workbookViewId="0">
      <selection activeCell="R14" sqref="R14"/>
    </sheetView>
  </sheetViews>
  <sheetFormatPr defaultRowHeight="14.5" x14ac:dyDescent="0.35"/>
  <cols>
    <col min="1" max="1" width="2.81640625" customWidth="1"/>
    <col min="2" max="2" width="6.1796875" customWidth="1"/>
    <col min="3" max="3" width="5.7265625" customWidth="1"/>
    <col min="4" max="4" width="6.54296875" customWidth="1"/>
    <col min="5" max="5" width="4" customWidth="1"/>
    <col min="6" max="6" width="10.7265625" customWidth="1"/>
    <col min="7" max="7" width="15.1796875" customWidth="1"/>
    <col min="8" max="8" width="6.54296875" customWidth="1"/>
    <col min="9" max="9" width="5.26953125" customWidth="1"/>
    <col min="10" max="10" width="13" customWidth="1"/>
    <col min="11" max="11" width="4.26953125" customWidth="1"/>
    <col min="12" max="12" width="15.7265625" customWidth="1"/>
    <col min="13" max="13" width="5.1796875" customWidth="1"/>
    <col min="14" max="14" width="0" hidden="1" customWidth="1"/>
  </cols>
  <sheetData>
    <row r="1" spans="1:18" ht="69" customHeight="1" thickBot="1" x14ac:dyDescent="0.4">
      <c r="A1" s="40"/>
      <c r="B1" s="41" t="e" vm="1">
        <v>#VALUE!</v>
      </c>
      <c r="C1" s="41"/>
      <c r="D1" s="42"/>
      <c r="E1" s="43" t="e" vm="2">
        <v>#VALUE!</v>
      </c>
      <c r="F1" s="44"/>
      <c r="G1" s="44"/>
      <c r="H1" s="44"/>
      <c r="I1" s="44"/>
      <c r="J1" s="45"/>
      <c r="K1" s="46"/>
      <c r="L1" s="46"/>
    </row>
    <row r="2" spans="1:18" ht="15.75" customHeight="1" thickBot="1" x14ac:dyDescent="0.4">
      <c r="A2" s="37"/>
      <c r="B2" s="88" t="s">
        <v>82</v>
      </c>
      <c r="C2" s="89"/>
      <c r="D2" s="89"/>
      <c r="E2" s="90"/>
      <c r="F2" s="47" t="s">
        <v>75</v>
      </c>
      <c r="G2" s="48"/>
      <c r="H2" s="48"/>
      <c r="I2" s="48"/>
      <c r="J2" s="54" t="s">
        <v>68</v>
      </c>
      <c r="K2" s="55"/>
      <c r="L2" s="56"/>
    </row>
    <row r="3" spans="1:18" ht="15" customHeight="1" x14ac:dyDescent="0.35">
      <c r="A3" s="38"/>
      <c r="B3" s="91" t="s">
        <v>77</v>
      </c>
      <c r="C3" s="92"/>
      <c r="D3" s="92"/>
      <c r="E3" s="93"/>
      <c r="F3" s="48"/>
      <c r="G3" s="48"/>
      <c r="H3" s="48"/>
      <c r="I3" s="48"/>
      <c r="J3" s="34" t="s">
        <v>69</v>
      </c>
      <c r="K3" s="57"/>
      <c r="L3" s="58"/>
      <c r="M3" s="23"/>
      <c r="R3" s="10"/>
    </row>
    <row r="4" spans="1:18" ht="15" customHeight="1" x14ac:dyDescent="0.35">
      <c r="A4" s="38"/>
      <c r="B4" s="91"/>
      <c r="C4" s="92"/>
      <c r="D4" s="92"/>
      <c r="E4" s="93"/>
      <c r="F4" s="48"/>
      <c r="G4" s="48"/>
      <c r="H4" s="48"/>
      <c r="I4" s="48"/>
      <c r="J4" s="35" t="s">
        <v>70</v>
      </c>
      <c r="K4" s="59"/>
      <c r="L4" s="60"/>
      <c r="M4" s="23"/>
    </row>
    <row r="5" spans="1:18" ht="15.75" customHeight="1" thickBot="1" x14ac:dyDescent="0.4">
      <c r="A5" s="38"/>
      <c r="B5" s="61" t="s">
        <v>78</v>
      </c>
      <c r="C5" s="62"/>
      <c r="D5" s="62"/>
      <c r="E5" s="63"/>
      <c r="F5" s="48"/>
      <c r="G5" s="48"/>
      <c r="H5" s="48"/>
      <c r="I5" s="48"/>
      <c r="J5" s="36" t="s">
        <v>71</v>
      </c>
      <c r="K5" s="78"/>
      <c r="L5" s="79"/>
      <c r="M5" s="23"/>
    </row>
    <row r="6" spans="1:18" ht="15" customHeight="1" x14ac:dyDescent="0.35">
      <c r="A6" s="38"/>
      <c r="B6" s="61" t="s">
        <v>79</v>
      </c>
      <c r="C6" s="62"/>
      <c r="D6" s="62"/>
      <c r="E6" s="63"/>
      <c r="F6" s="47" t="s">
        <v>76</v>
      </c>
      <c r="G6" s="47"/>
      <c r="H6" s="47"/>
      <c r="I6" s="47"/>
      <c r="J6" s="25"/>
      <c r="K6" s="25"/>
      <c r="L6" s="25"/>
      <c r="M6" s="23"/>
    </row>
    <row r="7" spans="1:18" ht="15" customHeight="1" x14ac:dyDescent="0.35">
      <c r="A7" s="38"/>
      <c r="B7" s="61"/>
      <c r="C7" s="62"/>
      <c r="D7" s="62"/>
      <c r="E7" s="63"/>
      <c r="F7" s="47"/>
      <c r="G7" s="47"/>
      <c r="H7" s="47"/>
      <c r="I7" s="47"/>
      <c r="J7" s="25"/>
      <c r="K7" s="25"/>
      <c r="L7" s="25"/>
    </row>
    <row r="8" spans="1:18" ht="8.25" customHeight="1" x14ac:dyDescent="0.35">
      <c r="A8" s="38"/>
      <c r="B8" s="61" t="s">
        <v>80</v>
      </c>
      <c r="C8" s="62"/>
      <c r="D8" s="62"/>
      <c r="E8" s="63"/>
      <c r="F8" s="47"/>
      <c r="G8" s="47"/>
      <c r="H8" s="47"/>
      <c r="I8" s="47"/>
      <c r="J8" s="25"/>
      <c r="K8" s="25"/>
      <c r="L8" s="25"/>
    </row>
    <row r="9" spans="1:18" ht="15.75" customHeight="1" x14ac:dyDescent="0.35">
      <c r="A9" s="38"/>
      <c r="B9" s="61"/>
      <c r="C9" s="62"/>
      <c r="D9" s="62"/>
      <c r="E9" s="63"/>
      <c r="F9" s="47"/>
      <c r="G9" s="47"/>
      <c r="H9" s="47"/>
      <c r="I9" s="47"/>
      <c r="J9" s="25"/>
      <c r="K9" s="25"/>
      <c r="L9" s="25"/>
      <c r="M9" s="24"/>
    </row>
    <row r="10" spans="1:18" ht="15" customHeight="1" x14ac:dyDescent="0.35">
      <c r="A10" s="38"/>
      <c r="B10" s="61" t="s">
        <v>81</v>
      </c>
      <c r="C10" s="62"/>
      <c r="D10" s="62"/>
      <c r="E10" s="63"/>
      <c r="F10" s="47"/>
      <c r="G10" s="47"/>
      <c r="H10" s="47"/>
      <c r="I10" s="47"/>
      <c r="J10" s="25"/>
      <c r="K10" s="25"/>
      <c r="L10" s="25"/>
      <c r="M10" s="14"/>
    </row>
    <row r="11" spans="1:18" ht="6.75" customHeight="1" x14ac:dyDescent="0.35">
      <c r="A11" s="38"/>
      <c r="B11" s="61"/>
      <c r="C11" s="62"/>
      <c r="D11" s="62"/>
      <c r="E11" s="63"/>
      <c r="F11" s="47"/>
      <c r="G11" s="47"/>
      <c r="H11" s="47"/>
      <c r="I11" s="47"/>
      <c r="J11" s="25"/>
      <c r="K11" s="25"/>
      <c r="L11" s="25"/>
    </row>
    <row r="12" spans="1:18" ht="17.25" customHeight="1" x14ac:dyDescent="0.35">
      <c r="A12" s="38"/>
      <c r="B12" s="86"/>
      <c r="C12" s="87"/>
      <c r="D12" s="87"/>
      <c r="E12" s="87"/>
      <c r="F12" s="39"/>
      <c r="G12" s="39"/>
      <c r="H12" s="39"/>
      <c r="I12" s="39"/>
      <c r="J12" s="39"/>
      <c r="K12" s="39"/>
      <c r="L12" s="39"/>
      <c r="M12" s="39"/>
      <c r="N12" s="39"/>
    </row>
    <row r="13" spans="1:18" ht="7.5" customHeight="1" x14ac:dyDescent="0.35"/>
    <row r="14" spans="1:18" ht="15.5" x14ac:dyDescent="0.35">
      <c r="B14" s="70" t="s">
        <v>66</v>
      </c>
      <c r="C14" s="70"/>
      <c r="D14" s="70"/>
      <c r="E14" s="70"/>
      <c r="F14" s="70"/>
      <c r="G14" s="70"/>
      <c r="H14" s="67" t="s">
        <v>2</v>
      </c>
      <c r="I14" s="67"/>
      <c r="J14" s="67" t="s">
        <v>1</v>
      </c>
      <c r="K14" s="67"/>
      <c r="L14" s="67" t="s">
        <v>0</v>
      </c>
      <c r="M14" s="67"/>
    </row>
    <row r="15" spans="1:18" ht="15" customHeight="1" x14ac:dyDescent="0.35">
      <c r="B15" s="80"/>
      <c r="C15" s="80"/>
      <c r="D15" s="80"/>
      <c r="E15" s="80"/>
      <c r="F15" s="80"/>
      <c r="G15" s="81"/>
      <c r="H15" s="11"/>
      <c r="I15" s="12"/>
      <c r="J15" s="13"/>
      <c r="K15" s="14"/>
      <c r="L15" s="7"/>
    </row>
    <row r="16" spans="1:18" x14ac:dyDescent="0.35">
      <c r="B16" s="82"/>
      <c r="C16" s="82"/>
      <c r="D16" s="82"/>
      <c r="E16" s="82"/>
      <c r="F16" s="82"/>
      <c r="G16" s="83"/>
      <c r="H16" s="11"/>
      <c r="I16" s="12"/>
      <c r="J16" s="13"/>
      <c r="K16" s="14"/>
      <c r="L16" s="7"/>
    </row>
    <row r="17" spans="2:13" x14ac:dyDescent="0.35">
      <c r="B17" s="84"/>
      <c r="C17" s="84"/>
      <c r="D17" s="84"/>
      <c r="E17" s="84"/>
      <c r="F17" s="84"/>
      <c r="G17" s="85"/>
      <c r="H17" s="11"/>
      <c r="I17" s="12"/>
      <c r="J17" s="13"/>
      <c r="K17" s="14"/>
      <c r="L17" s="7"/>
    </row>
    <row r="18" spans="2:13" x14ac:dyDescent="0.35">
      <c r="B18" s="64"/>
      <c r="C18" s="64"/>
      <c r="D18" s="64"/>
      <c r="E18" s="64"/>
      <c r="F18" s="64"/>
      <c r="G18" s="65"/>
      <c r="H18" s="11"/>
      <c r="I18" s="12"/>
      <c r="J18" s="13"/>
      <c r="K18" s="14"/>
      <c r="L18" s="7"/>
    </row>
    <row r="19" spans="2:13" x14ac:dyDescent="0.35">
      <c r="B19" s="76"/>
      <c r="C19" s="76"/>
      <c r="D19" s="76"/>
      <c r="E19" s="76"/>
      <c r="F19" s="76"/>
      <c r="G19" s="77"/>
      <c r="H19" s="11"/>
      <c r="I19" s="12"/>
      <c r="J19" s="13"/>
      <c r="K19" s="14"/>
      <c r="L19" s="7" t="str">
        <f t="shared" ref="L19:L34" si="0">IF(H19="","",(J19*H19))</f>
        <v/>
      </c>
      <c r="M19" t="str">
        <f t="shared" ref="M19:M34" si="1">IF(K19="","",K19)</f>
        <v/>
      </c>
    </row>
    <row r="20" spans="2:13" x14ac:dyDescent="0.35">
      <c r="B20" s="64"/>
      <c r="C20" s="64"/>
      <c r="D20" s="64"/>
      <c r="E20" s="64"/>
      <c r="F20" s="64"/>
      <c r="G20" s="65"/>
      <c r="H20" s="11"/>
      <c r="I20" s="12"/>
      <c r="J20" s="13"/>
      <c r="K20" s="14"/>
      <c r="L20" s="7" t="str">
        <f t="shared" si="0"/>
        <v/>
      </c>
      <c r="M20" t="str">
        <f t="shared" si="1"/>
        <v/>
      </c>
    </row>
    <row r="21" spans="2:13" x14ac:dyDescent="0.35">
      <c r="B21" s="64"/>
      <c r="C21" s="64"/>
      <c r="D21" s="64"/>
      <c r="E21" s="64"/>
      <c r="F21" s="64"/>
      <c r="G21" s="65"/>
      <c r="H21" s="11"/>
      <c r="I21" s="12"/>
      <c r="J21" s="13"/>
      <c r="K21" s="14"/>
      <c r="L21" s="7" t="str">
        <f t="shared" si="0"/>
        <v/>
      </c>
      <c r="M21" t="str">
        <f t="shared" si="1"/>
        <v/>
      </c>
    </row>
    <row r="22" spans="2:13" x14ac:dyDescent="0.35">
      <c r="B22" s="52"/>
      <c r="C22" s="52"/>
      <c r="D22" s="52"/>
      <c r="E22" s="52"/>
      <c r="F22" s="52"/>
      <c r="G22" s="53"/>
      <c r="H22" s="11"/>
      <c r="I22" s="12"/>
      <c r="J22" s="13"/>
      <c r="K22" s="14"/>
      <c r="L22" s="7"/>
      <c r="M22" t="str">
        <f t="shared" si="1"/>
        <v/>
      </c>
    </row>
    <row r="23" spans="2:13" x14ac:dyDescent="0.35">
      <c r="B23" s="52"/>
      <c r="C23" s="52"/>
      <c r="D23" s="52"/>
      <c r="E23" s="52"/>
      <c r="F23" s="52"/>
      <c r="G23" s="53"/>
      <c r="H23" s="11"/>
      <c r="I23" s="12"/>
      <c r="J23" s="13"/>
      <c r="K23" s="14"/>
      <c r="L23" s="7"/>
      <c r="M23" t="str">
        <f t="shared" si="1"/>
        <v/>
      </c>
    </row>
    <row r="24" spans="2:13" x14ac:dyDescent="0.35">
      <c r="B24" s="52"/>
      <c r="C24" s="52"/>
      <c r="D24" s="52"/>
      <c r="E24" s="52"/>
      <c r="F24" s="52"/>
      <c r="G24" s="53"/>
      <c r="H24" s="11"/>
      <c r="I24" s="12"/>
      <c r="J24" s="13"/>
      <c r="K24" s="14"/>
      <c r="L24" s="7"/>
    </row>
    <row r="25" spans="2:13" x14ac:dyDescent="0.35">
      <c r="B25" s="52"/>
      <c r="C25" s="52"/>
      <c r="D25" s="52"/>
      <c r="E25" s="52"/>
      <c r="F25" s="52"/>
      <c r="G25" s="53"/>
      <c r="H25" s="11"/>
      <c r="I25" s="12"/>
      <c r="J25" s="13"/>
      <c r="K25" s="14"/>
      <c r="L25" s="7" t="str">
        <f t="shared" si="0"/>
        <v/>
      </c>
      <c r="M25" t="str">
        <f t="shared" si="1"/>
        <v/>
      </c>
    </row>
    <row r="26" spans="2:13" x14ac:dyDescent="0.35">
      <c r="B26" s="52"/>
      <c r="C26" s="52"/>
      <c r="D26" s="52"/>
      <c r="E26" s="52"/>
      <c r="F26" s="52"/>
      <c r="G26" s="53"/>
      <c r="H26" s="11"/>
      <c r="I26" s="12"/>
      <c r="J26" s="13"/>
      <c r="K26" s="14"/>
      <c r="L26" s="7" t="str">
        <f t="shared" si="0"/>
        <v/>
      </c>
      <c r="M26" t="str">
        <f t="shared" si="1"/>
        <v/>
      </c>
    </row>
    <row r="27" spans="2:13" x14ac:dyDescent="0.35">
      <c r="B27" s="52"/>
      <c r="C27" s="52"/>
      <c r="D27" s="52"/>
      <c r="E27" s="52"/>
      <c r="F27" s="52"/>
      <c r="G27" s="53"/>
      <c r="H27" s="11"/>
      <c r="I27" s="12"/>
      <c r="J27" s="13"/>
      <c r="K27" s="14"/>
      <c r="L27" s="7" t="str">
        <f t="shared" si="0"/>
        <v/>
      </c>
      <c r="M27" t="str">
        <f t="shared" si="1"/>
        <v/>
      </c>
    </row>
    <row r="28" spans="2:13" x14ac:dyDescent="0.35">
      <c r="B28" s="52"/>
      <c r="C28" s="52"/>
      <c r="D28" s="52"/>
      <c r="E28" s="52"/>
      <c r="F28" s="52"/>
      <c r="G28" s="53"/>
      <c r="H28" s="11"/>
      <c r="I28" s="12"/>
      <c r="J28" s="13"/>
      <c r="K28" s="14"/>
      <c r="L28" s="7"/>
    </row>
    <row r="29" spans="2:13" x14ac:dyDescent="0.35">
      <c r="B29" s="52"/>
      <c r="C29" s="52"/>
      <c r="D29" s="52"/>
      <c r="E29" s="52"/>
      <c r="F29" s="52"/>
      <c r="G29" s="53"/>
      <c r="H29" s="11"/>
      <c r="I29" s="12"/>
      <c r="J29" s="13"/>
      <c r="K29" s="14"/>
      <c r="L29" s="7" t="str">
        <f t="shared" si="0"/>
        <v/>
      </c>
      <c r="M29" t="str">
        <f t="shared" si="1"/>
        <v/>
      </c>
    </row>
    <row r="30" spans="2:13" x14ac:dyDescent="0.35">
      <c r="B30" s="52"/>
      <c r="C30" s="52"/>
      <c r="D30" s="52"/>
      <c r="E30" s="52"/>
      <c r="F30" s="52"/>
      <c r="G30" s="53"/>
      <c r="H30" s="11"/>
      <c r="I30" s="12"/>
      <c r="J30" s="13"/>
      <c r="K30" s="14"/>
      <c r="L30" s="7" t="str">
        <f t="shared" si="0"/>
        <v/>
      </c>
      <c r="M30" t="str">
        <f t="shared" si="1"/>
        <v/>
      </c>
    </row>
    <row r="31" spans="2:13" x14ac:dyDescent="0.35">
      <c r="B31" s="68"/>
      <c r="C31" s="68"/>
      <c r="D31" s="68"/>
      <c r="E31" s="68"/>
      <c r="F31" s="68"/>
      <c r="G31" s="69"/>
      <c r="H31" s="11"/>
      <c r="I31" s="12"/>
      <c r="J31" s="13"/>
      <c r="K31" s="14"/>
      <c r="L31" s="7"/>
    </row>
    <row r="32" spans="2:13" x14ac:dyDescent="0.35">
      <c r="B32" s="52"/>
      <c r="C32" s="52"/>
      <c r="D32" s="52"/>
      <c r="E32" s="52"/>
      <c r="F32" s="52"/>
      <c r="G32" s="53"/>
      <c r="H32" s="11"/>
      <c r="I32" s="12"/>
      <c r="J32" s="13"/>
      <c r="K32" s="14"/>
      <c r="L32" s="7" t="str">
        <f t="shared" si="0"/>
        <v/>
      </c>
      <c r="M32" t="str">
        <f t="shared" si="1"/>
        <v/>
      </c>
    </row>
    <row r="33" spans="2:13" x14ac:dyDescent="0.35">
      <c r="B33" s="52"/>
      <c r="C33" s="52"/>
      <c r="D33" s="52"/>
      <c r="E33" s="52"/>
      <c r="F33" s="52"/>
      <c r="G33" s="53"/>
      <c r="H33" s="11"/>
      <c r="I33" s="12"/>
      <c r="J33" s="13"/>
      <c r="K33" s="14"/>
      <c r="L33" s="7" t="str">
        <f t="shared" si="0"/>
        <v/>
      </c>
      <c r="M33" t="str">
        <f t="shared" si="1"/>
        <v/>
      </c>
    </row>
    <row r="34" spans="2:13" x14ac:dyDescent="0.35">
      <c r="B34" s="50"/>
      <c r="C34" s="50"/>
      <c r="D34" s="50"/>
      <c r="E34" s="50"/>
      <c r="F34" s="50"/>
      <c r="G34" s="51"/>
      <c r="H34" s="16"/>
      <c r="I34" s="21"/>
      <c r="J34" s="17"/>
      <c r="K34" s="15"/>
      <c r="L34" s="9" t="str">
        <f t="shared" si="0"/>
        <v/>
      </c>
      <c r="M34" s="8" t="str">
        <f t="shared" si="1"/>
        <v/>
      </c>
    </row>
    <row r="35" spans="2:13" x14ac:dyDescent="0.35">
      <c r="B35" s="22"/>
      <c r="C35" s="22"/>
      <c r="D35" s="22"/>
      <c r="E35" s="22"/>
      <c r="F35" s="22"/>
      <c r="G35" s="22"/>
      <c r="H35" s="26"/>
      <c r="I35" s="22"/>
      <c r="J35" s="27"/>
      <c r="K35" s="14"/>
      <c r="L35" s="28"/>
    </row>
    <row r="36" spans="2:13" ht="18.5" x14ac:dyDescent="0.45">
      <c r="B36" s="18" t="s">
        <v>63</v>
      </c>
      <c r="C36" s="5"/>
      <c r="D36" s="6"/>
      <c r="E36" s="22"/>
      <c r="F36" s="75"/>
      <c r="G36" s="75"/>
      <c r="H36" s="75"/>
      <c r="I36" s="75"/>
      <c r="J36" s="30" t="s">
        <v>72</v>
      </c>
      <c r="K36" s="31"/>
      <c r="L36" s="32">
        <f>SUM(L15:L35)</f>
        <v>0</v>
      </c>
    </row>
    <row r="37" spans="2:13" ht="18.5" x14ac:dyDescent="0.45">
      <c r="B37" s="22"/>
      <c r="C37" s="22"/>
      <c r="D37" s="22"/>
      <c r="E37" s="22"/>
      <c r="F37" s="22"/>
      <c r="G37" s="22"/>
      <c r="H37" s="26"/>
      <c r="I37" s="22"/>
      <c r="J37" s="30" t="s">
        <v>73</v>
      </c>
      <c r="K37" s="31"/>
      <c r="L37" s="33">
        <f>L36*0.16</f>
        <v>0</v>
      </c>
    </row>
    <row r="38" spans="2:13" ht="18.5" x14ac:dyDescent="0.45">
      <c r="B38" s="72"/>
      <c r="C38" s="72"/>
      <c r="D38" s="72"/>
      <c r="E38" s="72"/>
      <c r="F38" s="22"/>
      <c r="G38" s="22"/>
      <c r="H38" s="26"/>
      <c r="I38" s="22"/>
      <c r="J38" s="30" t="s">
        <v>74</v>
      </c>
      <c r="K38" s="31"/>
      <c r="L38" s="33">
        <f>SUM(L36:L37)</f>
        <v>0</v>
      </c>
    </row>
    <row r="39" spans="2:13" ht="20.25" customHeight="1" x14ac:dyDescent="0.45">
      <c r="B39" s="73"/>
      <c r="C39" s="74"/>
      <c r="D39" s="74"/>
      <c r="E39" s="74"/>
      <c r="F39" s="74"/>
      <c r="G39" s="74"/>
      <c r="H39" s="74"/>
      <c r="I39" s="74"/>
      <c r="J39" s="29"/>
      <c r="K39" s="29"/>
      <c r="L39" s="29"/>
      <c r="M39" s="29"/>
    </row>
    <row r="40" spans="2:13" ht="5.25" customHeight="1" x14ac:dyDescent="0.35">
      <c r="G40" s="71"/>
      <c r="H40" s="71"/>
      <c r="I40" s="71"/>
      <c r="J40" s="71"/>
      <c r="K40" s="71"/>
      <c r="L40" s="71"/>
      <c r="M40" s="71"/>
    </row>
    <row r="41" spans="2:13" ht="0.75" customHeight="1" x14ac:dyDescent="0.35"/>
    <row r="42" spans="2:13" ht="8.25" customHeight="1" x14ac:dyDescent="0.35"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</row>
    <row r="43" spans="2:13" ht="5.5" customHeight="1" x14ac:dyDescent="0.35"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</row>
    <row r="44" spans="2:13" ht="10.15" customHeight="1" x14ac:dyDescent="0.35">
      <c r="B44" s="66" t="s">
        <v>67</v>
      </c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</row>
    <row r="45" spans="2:13" ht="11.5" customHeight="1" x14ac:dyDescent="0.35"/>
  </sheetData>
  <sheetProtection formatCells="0" formatColumns="0" formatRows="0" selectLockedCells="1"/>
  <mergeCells count="46">
    <mergeCell ref="B44:M44"/>
    <mergeCell ref="L14:M14"/>
    <mergeCell ref="B25:G25"/>
    <mergeCell ref="B26:G26"/>
    <mergeCell ref="B27:G27"/>
    <mergeCell ref="B31:G31"/>
    <mergeCell ref="B14:G14"/>
    <mergeCell ref="J14:K14"/>
    <mergeCell ref="H14:I14"/>
    <mergeCell ref="G40:M40"/>
    <mergeCell ref="B28:G28"/>
    <mergeCell ref="B38:E38"/>
    <mergeCell ref="B39:I39"/>
    <mergeCell ref="F36:I36"/>
    <mergeCell ref="B19:G19"/>
    <mergeCell ref="B20:G20"/>
    <mergeCell ref="B23:G23"/>
    <mergeCell ref="B24:G24"/>
    <mergeCell ref="J2:L2"/>
    <mergeCell ref="K3:L3"/>
    <mergeCell ref="K4:L4"/>
    <mergeCell ref="B10:E11"/>
    <mergeCell ref="B21:G21"/>
    <mergeCell ref="B22:G22"/>
    <mergeCell ref="K5:L5"/>
    <mergeCell ref="B15:G15"/>
    <mergeCell ref="B16:G16"/>
    <mergeCell ref="B17:G17"/>
    <mergeCell ref="B18:G18"/>
    <mergeCell ref="B12:E12"/>
    <mergeCell ref="B2:E2"/>
    <mergeCell ref="B3:E4"/>
    <mergeCell ref="B42:M43"/>
    <mergeCell ref="B34:G34"/>
    <mergeCell ref="B32:G32"/>
    <mergeCell ref="B33:G33"/>
    <mergeCell ref="B29:G29"/>
    <mergeCell ref="B30:G30"/>
    <mergeCell ref="B1:D1"/>
    <mergeCell ref="E1:J1"/>
    <mergeCell ref="K1:L1"/>
    <mergeCell ref="F2:I5"/>
    <mergeCell ref="F6:I11"/>
    <mergeCell ref="B5:E5"/>
    <mergeCell ref="B6:E7"/>
    <mergeCell ref="B8:E9"/>
  </mergeCells>
  <dataValidations disablePrompts="1" count="1">
    <dataValidation type="list" allowBlank="1" showInputMessage="1" showErrorMessage="1" sqref="I15:I35 I37:I38 K15:K35" xr:uid="{00000000-0002-0000-0000-000001000000}">
      <formula1>#REF!</formula1>
    </dataValidation>
  </dataValidations>
  <pageMargins left="0.25" right="0.25" top="0.75" bottom="0.75" header="0" footer="0.3"/>
  <pageSetup orientation="portrait" r:id="rId1"/>
  <headerFooter>
    <oddHeader>&amp;C&amp;"-,Bold"&amp;12&amp;K00-001
&amp;U___________________________________________________________________________________</oddHeader>
    <oddFooter xml:space="preserve">&amp;C&amp;"-,Bold"&amp;12&amp;K00-030___________________________________________________________________________________
Lázaro Cárdenas #4559 Col. Gabriel Rodríguez. Tijuana, B.C. Tel: (664) 661 7251  
Email: contacto@idmingenieria.com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6:K81"/>
  <sheetViews>
    <sheetView workbookViewId="0">
      <selection activeCell="K9" sqref="K9"/>
    </sheetView>
  </sheetViews>
  <sheetFormatPr defaultRowHeight="14.5" x14ac:dyDescent="0.35"/>
  <cols>
    <col min="3" max="3" width="57.81640625" customWidth="1"/>
    <col min="8" max="8" width="40.26953125" customWidth="1"/>
  </cols>
  <sheetData>
    <row r="6" spans="2:11" x14ac:dyDescent="0.35">
      <c r="B6" s="1"/>
      <c r="C6" s="2" t="s">
        <v>3</v>
      </c>
    </row>
    <row r="7" spans="2:11" x14ac:dyDescent="0.35">
      <c r="B7" s="1"/>
      <c r="C7" s="2" t="s">
        <v>4</v>
      </c>
    </row>
    <row r="8" spans="2:11" x14ac:dyDescent="0.35">
      <c r="B8" s="1"/>
      <c r="C8" s="2" t="s">
        <v>5</v>
      </c>
    </row>
    <row r="9" spans="2:11" ht="141" customHeight="1" x14ac:dyDescent="0.35">
      <c r="B9" s="1"/>
      <c r="C9" s="2" t="s">
        <v>6</v>
      </c>
      <c r="H9" s="19" t="s">
        <v>64</v>
      </c>
      <c r="K9" s="20" t="s">
        <v>65</v>
      </c>
    </row>
    <row r="10" spans="2:11" x14ac:dyDescent="0.35">
      <c r="B10" s="1"/>
      <c r="C10" s="3"/>
    </row>
    <row r="11" spans="2:11" x14ac:dyDescent="0.35">
      <c r="B11" s="1"/>
      <c r="C11" s="4" t="s">
        <v>7</v>
      </c>
    </row>
    <row r="12" spans="2:11" x14ac:dyDescent="0.35">
      <c r="B12" s="1"/>
      <c r="C12" s="4" t="s">
        <v>8</v>
      </c>
    </row>
    <row r="13" spans="2:11" x14ac:dyDescent="0.35">
      <c r="B13" s="1"/>
      <c r="C13" s="2" t="s">
        <v>9</v>
      </c>
    </row>
    <row r="14" spans="2:11" x14ac:dyDescent="0.35">
      <c r="B14" s="1"/>
      <c r="C14" s="3" t="s">
        <v>10</v>
      </c>
    </row>
    <row r="15" spans="2:11" x14ac:dyDescent="0.35">
      <c r="B15" s="1"/>
      <c r="C15" s="3" t="s">
        <v>11</v>
      </c>
    </row>
    <row r="16" spans="2:11" x14ac:dyDescent="0.35">
      <c r="B16" s="1"/>
      <c r="C16" s="2" t="s">
        <v>12</v>
      </c>
    </row>
    <row r="17" spans="2:3" x14ac:dyDescent="0.35">
      <c r="B17" s="1"/>
      <c r="C17" s="3"/>
    </row>
    <row r="18" spans="2:3" ht="29" x14ac:dyDescent="0.35">
      <c r="B18" s="1"/>
      <c r="C18" s="4" t="s">
        <v>13</v>
      </c>
    </row>
    <row r="19" spans="2:3" ht="29" x14ac:dyDescent="0.35">
      <c r="B19" s="1"/>
      <c r="C19" s="4" t="s">
        <v>14</v>
      </c>
    </row>
    <row r="20" spans="2:3" x14ac:dyDescent="0.35">
      <c r="B20" s="1"/>
      <c r="C20" s="3" t="s">
        <v>15</v>
      </c>
    </row>
    <row r="21" spans="2:3" x14ac:dyDescent="0.35">
      <c r="B21" s="1"/>
      <c r="C21" s="3"/>
    </row>
    <row r="22" spans="2:3" x14ac:dyDescent="0.35">
      <c r="B22" s="1"/>
      <c r="C22" s="4" t="s">
        <v>16</v>
      </c>
    </row>
    <row r="23" spans="2:3" x14ac:dyDescent="0.35">
      <c r="B23" s="1"/>
      <c r="C23" s="3" t="s">
        <v>17</v>
      </c>
    </row>
    <row r="24" spans="2:3" x14ac:dyDescent="0.35">
      <c r="B24" s="1"/>
      <c r="C24" s="3"/>
    </row>
    <row r="25" spans="2:3" ht="29" x14ac:dyDescent="0.35">
      <c r="B25" s="1"/>
      <c r="C25" s="4" t="s">
        <v>18</v>
      </c>
    </row>
    <row r="26" spans="2:3" x14ac:dyDescent="0.35">
      <c r="B26" s="1"/>
      <c r="C26" s="3" t="s">
        <v>19</v>
      </c>
    </row>
    <row r="27" spans="2:3" x14ac:dyDescent="0.35">
      <c r="B27" s="1"/>
      <c r="C27" s="3"/>
    </row>
    <row r="28" spans="2:3" x14ac:dyDescent="0.35">
      <c r="B28" s="1"/>
      <c r="C28" s="4" t="s">
        <v>20</v>
      </c>
    </row>
    <row r="29" spans="2:3" x14ac:dyDescent="0.35">
      <c r="B29" s="1"/>
      <c r="C29" s="4" t="s">
        <v>21</v>
      </c>
    </row>
    <row r="30" spans="2:3" x14ac:dyDescent="0.35">
      <c r="B30" s="1"/>
      <c r="C30" s="2" t="s">
        <v>22</v>
      </c>
    </row>
    <row r="31" spans="2:3" x14ac:dyDescent="0.35">
      <c r="B31" s="1"/>
      <c r="C31" s="3" t="s">
        <v>23</v>
      </c>
    </row>
    <row r="32" spans="2:3" x14ac:dyDescent="0.35">
      <c r="B32" s="1"/>
      <c r="C32" s="3" t="s">
        <v>24</v>
      </c>
    </row>
    <row r="33" spans="2:3" x14ac:dyDescent="0.35">
      <c r="B33" s="1"/>
      <c r="C33" s="3" t="s">
        <v>25</v>
      </c>
    </row>
    <row r="34" spans="2:3" x14ac:dyDescent="0.35">
      <c r="B34" s="1"/>
      <c r="C34" s="3" t="s">
        <v>26</v>
      </c>
    </row>
    <row r="35" spans="2:3" x14ac:dyDescent="0.35">
      <c r="B35" s="1"/>
      <c r="C35" s="3" t="s">
        <v>27</v>
      </c>
    </row>
    <row r="36" spans="2:3" x14ac:dyDescent="0.35">
      <c r="B36" s="1"/>
      <c r="C36" s="3" t="s">
        <v>28</v>
      </c>
    </row>
    <row r="37" spans="2:3" x14ac:dyDescent="0.35">
      <c r="B37" s="1"/>
      <c r="C37" s="3" t="s">
        <v>29</v>
      </c>
    </row>
    <row r="38" spans="2:3" x14ac:dyDescent="0.35">
      <c r="B38" s="1"/>
      <c r="C38" s="3"/>
    </row>
    <row r="39" spans="2:3" x14ac:dyDescent="0.35">
      <c r="B39" s="1"/>
      <c r="C39" s="4" t="s">
        <v>30</v>
      </c>
    </row>
    <row r="40" spans="2:3" x14ac:dyDescent="0.35">
      <c r="B40" s="1"/>
      <c r="C40" s="2" t="s">
        <v>31</v>
      </c>
    </row>
    <row r="41" spans="2:3" x14ac:dyDescent="0.35">
      <c r="B41" s="1"/>
      <c r="C41" s="4" t="s">
        <v>32</v>
      </c>
    </row>
    <row r="42" spans="2:3" x14ac:dyDescent="0.35">
      <c r="B42" s="1"/>
      <c r="C42" s="2" t="s">
        <v>33</v>
      </c>
    </row>
    <row r="43" spans="2:3" x14ac:dyDescent="0.35">
      <c r="B43" s="1"/>
      <c r="C43" s="3"/>
    </row>
    <row r="44" spans="2:3" ht="29" x14ac:dyDescent="0.35">
      <c r="B44" s="1"/>
      <c r="C44" s="2" t="s">
        <v>34</v>
      </c>
    </row>
    <row r="45" spans="2:3" x14ac:dyDescent="0.35">
      <c r="B45" s="1"/>
      <c r="C45" s="4" t="s">
        <v>35</v>
      </c>
    </row>
    <row r="46" spans="2:3" x14ac:dyDescent="0.35">
      <c r="B46" s="1"/>
      <c r="C46" s="2" t="s">
        <v>36</v>
      </c>
    </row>
    <row r="47" spans="2:3" x14ac:dyDescent="0.35">
      <c r="B47" s="1"/>
      <c r="C47" s="2" t="s">
        <v>37</v>
      </c>
    </row>
    <row r="48" spans="2:3" ht="29" x14ac:dyDescent="0.35">
      <c r="B48" s="1"/>
      <c r="C48" s="3" t="s">
        <v>38</v>
      </c>
    </row>
    <row r="49" spans="2:3" ht="29" x14ac:dyDescent="0.35">
      <c r="B49" s="1"/>
      <c r="C49" s="3" t="s">
        <v>39</v>
      </c>
    </row>
    <row r="50" spans="2:3" ht="29" x14ac:dyDescent="0.35">
      <c r="B50" s="1"/>
      <c r="C50" s="3" t="s">
        <v>40</v>
      </c>
    </row>
    <row r="51" spans="2:3" ht="29" x14ac:dyDescent="0.35">
      <c r="B51" s="1"/>
      <c r="C51" s="3" t="s">
        <v>41</v>
      </c>
    </row>
    <row r="52" spans="2:3" ht="29" x14ac:dyDescent="0.35">
      <c r="B52" s="1"/>
      <c r="C52" s="3" t="s">
        <v>42</v>
      </c>
    </row>
    <row r="53" spans="2:3" ht="29" x14ac:dyDescent="0.35">
      <c r="B53" s="1"/>
      <c r="C53" s="3" t="s">
        <v>43</v>
      </c>
    </row>
    <row r="54" spans="2:3" x14ac:dyDescent="0.35">
      <c r="B54" s="1"/>
      <c r="C54" s="3" t="s">
        <v>44</v>
      </c>
    </row>
    <row r="55" spans="2:3" ht="29" x14ac:dyDescent="0.35">
      <c r="B55" s="1"/>
      <c r="C55" s="3" t="s">
        <v>45</v>
      </c>
    </row>
    <row r="56" spans="2:3" x14ac:dyDescent="0.35">
      <c r="B56" s="1"/>
      <c r="C56" s="3" t="s">
        <v>46</v>
      </c>
    </row>
    <row r="57" spans="2:3" x14ac:dyDescent="0.35">
      <c r="B57" s="1"/>
      <c r="C57" s="2" t="s">
        <v>12</v>
      </c>
    </row>
    <row r="58" spans="2:3" x14ac:dyDescent="0.35">
      <c r="B58" s="1"/>
      <c r="C58" s="2" t="s">
        <v>47</v>
      </c>
    </row>
    <row r="59" spans="2:3" x14ac:dyDescent="0.35">
      <c r="B59" s="1"/>
      <c r="C59" s="3"/>
    </row>
    <row r="60" spans="2:3" ht="29" x14ac:dyDescent="0.35">
      <c r="B60" s="1"/>
      <c r="C60" s="4" t="s">
        <v>48</v>
      </c>
    </row>
    <row r="61" spans="2:3" ht="29" x14ac:dyDescent="0.35">
      <c r="B61" s="1"/>
      <c r="C61" s="4" t="s">
        <v>49</v>
      </c>
    </row>
    <row r="62" spans="2:3" x14ac:dyDescent="0.35">
      <c r="B62" s="1"/>
      <c r="C62" s="3" t="s">
        <v>50</v>
      </c>
    </row>
    <row r="63" spans="2:3" x14ac:dyDescent="0.35">
      <c r="B63" s="1"/>
      <c r="C63" s="3"/>
    </row>
    <row r="64" spans="2:3" x14ac:dyDescent="0.35">
      <c r="B64" s="1"/>
      <c r="C64" s="4" t="s">
        <v>51</v>
      </c>
    </row>
    <row r="65" spans="2:3" x14ac:dyDescent="0.35">
      <c r="B65" s="1"/>
      <c r="C65" s="2" t="s">
        <v>52</v>
      </c>
    </row>
    <row r="66" spans="2:3" x14ac:dyDescent="0.35">
      <c r="B66" s="1"/>
      <c r="C66" s="2" t="s">
        <v>53</v>
      </c>
    </row>
    <row r="67" spans="2:3" x14ac:dyDescent="0.35">
      <c r="B67" s="1"/>
      <c r="C67" s="3"/>
    </row>
    <row r="68" spans="2:3" x14ac:dyDescent="0.35">
      <c r="B68" s="1"/>
      <c r="C68" s="4" t="s">
        <v>54</v>
      </c>
    </row>
    <row r="69" spans="2:3" x14ac:dyDescent="0.35">
      <c r="B69" s="1"/>
      <c r="C69" s="4" t="s">
        <v>55</v>
      </c>
    </row>
    <row r="70" spans="2:3" x14ac:dyDescent="0.35">
      <c r="B70" s="1"/>
      <c r="C70" s="2" t="s">
        <v>9</v>
      </c>
    </row>
    <row r="71" spans="2:3" x14ac:dyDescent="0.35">
      <c r="B71" s="1"/>
      <c r="C71" s="3" t="s">
        <v>56</v>
      </c>
    </row>
    <row r="72" spans="2:3" x14ac:dyDescent="0.35">
      <c r="B72" s="1"/>
      <c r="C72" s="3" t="s">
        <v>57</v>
      </c>
    </row>
    <row r="73" spans="2:3" x14ac:dyDescent="0.35">
      <c r="B73" s="1"/>
      <c r="C73" s="2" t="s">
        <v>12</v>
      </c>
    </row>
    <row r="74" spans="2:3" x14ac:dyDescent="0.35">
      <c r="B74" s="1"/>
      <c r="C74" s="3"/>
    </row>
    <row r="75" spans="2:3" x14ac:dyDescent="0.35">
      <c r="B75" s="1"/>
      <c r="C75" s="2" t="s">
        <v>58</v>
      </c>
    </row>
    <row r="76" spans="2:3" x14ac:dyDescent="0.35">
      <c r="B76" s="1"/>
      <c r="C76" s="3"/>
    </row>
    <row r="77" spans="2:3" ht="29" x14ac:dyDescent="0.35">
      <c r="B77" s="1"/>
      <c r="C77" s="4" t="s">
        <v>59</v>
      </c>
    </row>
    <row r="78" spans="2:3" x14ac:dyDescent="0.35">
      <c r="B78" s="1"/>
      <c r="C78" s="3" t="s">
        <v>60</v>
      </c>
    </row>
    <row r="79" spans="2:3" x14ac:dyDescent="0.35">
      <c r="B79" s="1"/>
      <c r="C79" s="3" t="s">
        <v>61</v>
      </c>
    </row>
    <row r="80" spans="2:3" x14ac:dyDescent="0.35">
      <c r="B80" s="1"/>
      <c r="C80" s="3"/>
    </row>
    <row r="81" spans="2:3" x14ac:dyDescent="0.35">
      <c r="B81" s="1"/>
      <c r="C81" s="2" t="s">
        <v>62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Cotizacion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Guerrero Cuautle</dc:creator>
  <cp:lastModifiedBy>Jorge Luis Vera Lemus</cp:lastModifiedBy>
  <cp:lastPrinted>2025-03-11T15:04:27Z</cp:lastPrinted>
  <dcterms:created xsi:type="dcterms:W3CDTF">2017-12-22T20:34:59Z</dcterms:created>
  <dcterms:modified xsi:type="dcterms:W3CDTF">2025-03-11T16:24:54Z</dcterms:modified>
</cp:coreProperties>
</file>