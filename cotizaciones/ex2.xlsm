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cion IDM\Desktop\TALLER\1 IDM\1 IDM 2025\1 COTIZACIÓNES 2025\Medtronic\Jesús Lomeli\"/>
    </mc:Choice>
  </mc:AlternateContent>
  <xr:revisionPtr revIDLastSave="0" documentId="13_ncr:1_{73186D27-3C1A-4DCD-8E1C-3E0B9E5E6A7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ción" sheetId="1" r:id="rId1"/>
    <sheet name="Ref 4458" sheetId="8" r:id="rId2"/>
    <sheet name="Hoja1" sheetId="6" r:id="rId3"/>
    <sheet name="Tabla de Costos" sheetId="4" r:id="rId4"/>
    <sheet name="Costos Maquinado" sheetId="5" r:id="rId5"/>
    <sheet name="Sheet3" sheetId="3" r:id="rId6"/>
    <sheet name="Sheet2" sheetId="2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" i="8" l="1"/>
  <c r="O18" i="8"/>
  <c r="Q18" i="8" s="1"/>
  <c r="X17" i="8"/>
  <c r="O17" i="8"/>
  <c r="Q17" i="8" s="1"/>
  <c r="X16" i="8"/>
  <c r="O16" i="8"/>
  <c r="Q16" i="8" s="1"/>
  <c r="X15" i="8"/>
  <c r="Q15" i="8"/>
  <c r="T15" i="8" s="1"/>
  <c r="O15" i="8"/>
  <c r="X14" i="8"/>
  <c r="Q14" i="8"/>
  <c r="T14" i="8" s="1"/>
  <c r="O14" i="8"/>
  <c r="X13" i="8"/>
  <c r="Q13" i="8"/>
  <c r="T13" i="8" s="1"/>
  <c r="O13" i="8"/>
  <c r="X12" i="8"/>
  <c r="O12" i="8"/>
  <c r="Q12" i="8" s="1"/>
  <c r="X11" i="8"/>
  <c r="O11" i="8"/>
  <c r="Q11" i="8" s="1"/>
  <c r="X10" i="8"/>
  <c r="O10" i="8"/>
  <c r="Q10" i="8" s="1"/>
  <c r="X9" i="8"/>
  <c r="O9" i="8"/>
  <c r="Q9" i="8" s="1"/>
  <c r="T8" i="8"/>
  <c r="Q8" i="8"/>
  <c r="R8" i="8" s="1"/>
  <c r="O8" i="8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2" i="1"/>
  <c r="M33" i="1"/>
  <c r="M35" i="1"/>
  <c r="M36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2" i="1"/>
  <c r="L33" i="1"/>
  <c r="L35" i="1"/>
  <c r="L36" i="1"/>
  <c r="X18" i="5"/>
  <c r="O18" i="5"/>
  <c r="Q18" i="5" s="1"/>
  <c r="X17" i="5"/>
  <c r="O17" i="5"/>
  <c r="Q17" i="5" s="1"/>
  <c r="X16" i="5"/>
  <c r="O16" i="5"/>
  <c r="Q16" i="5" s="1"/>
  <c r="X15" i="5"/>
  <c r="O15" i="5"/>
  <c r="Q15" i="5" s="1"/>
  <c r="T15" i="5" s="1"/>
  <c r="X14" i="5"/>
  <c r="O14" i="5"/>
  <c r="Q14" i="5" s="1"/>
  <c r="R14" i="5" s="1"/>
  <c r="X13" i="5"/>
  <c r="O13" i="5"/>
  <c r="Q13" i="5" s="1"/>
  <c r="X12" i="5"/>
  <c r="O12" i="5"/>
  <c r="Q12" i="5" s="1"/>
  <c r="X11" i="5"/>
  <c r="O11" i="5"/>
  <c r="Q11" i="5" s="1"/>
  <c r="X10" i="5"/>
  <c r="O10" i="5"/>
  <c r="Q10" i="5" s="1"/>
  <c r="X9" i="5"/>
  <c r="O9" i="5"/>
  <c r="Q9" i="5" s="1"/>
  <c r="O8" i="5"/>
  <c r="Q8" i="5" s="1"/>
  <c r="E56" i="4"/>
  <c r="E55" i="4"/>
  <c r="E54" i="4"/>
  <c r="E53" i="4"/>
  <c r="E52" i="4"/>
  <c r="E44" i="4"/>
  <c r="E43" i="4"/>
  <c r="E42" i="4"/>
  <c r="E41" i="4"/>
  <c r="E40" i="4"/>
  <c r="E39" i="4"/>
  <c r="E38" i="4"/>
  <c r="E32" i="4"/>
  <c r="E31" i="4"/>
  <c r="E30" i="4"/>
  <c r="E29" i="4"/>
  <c r="E28" i="4"/>
  <c r="E27" i="4"/>
  <c r="E26" i="4"/>
  <c r="E25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R12" i="8" l="1"/>
  <c r="T12" i="8"/>
  <c r="T9" i="8"/>
  <c r="R9" i="8"/>
  <c r="T16" i="8"/>
  <c r="R16" i="8"/>
  <c r="R17" i="8"/>
  <c r="T17" i="8"/>
  <c r="T18" i="8"/>
  <c r="R18" i="8"/>
  <c r="T10" i="8"/>
  <c r="R10" i="8"/>
  <c r="T11" i="8"/>
  <c r="R11" i="8"/>
  <c r="R14" i="8"/>
  <c r="R13" i="8"/>
  <c r="R15" i="8"/>
  <c r="T9" i="5"/>
  <c r="R9" i="5"/>
  <c r="T17" i="5"/>
  <c r="R17" i="5"/>
  <c r="T8" i="5"/>
  <c r="R8" i="5"/>
  <c r="T18" i="5"/>
  <c r="R18" i="5"/>
  <c r="T10" i="5"/>
  <c r="R10" i="5"/>
  <c r="R11" i="5"/>
  <c r="T11" i="5"/>
  <c r="R12" i="5"/>
  <c r="T12" i="5"/>
  <c r="T13" i="5"/>
  <c r="R13" i="5"/>
  <c r="T16" i="5"/>
  <c r="R16" i="5"/>
  <c r="T14" i="5"/>
  <c r="R15" i="5"/>
  <c r="E33" i="4"/>
  <c r="E76" i="4" s="1"/>
  <c r="E45" i="4"/>
  <c r="E77" i="4" s="1"/>
  <c r="E57" i="4"/>
  <c r="E78" i="4" s="1"/>
  <c r="E20" i="4"/>
  <c r="E21" i="4" s="1"/>
  <c r="L14" i="1"/>
  <c r="I74" i="4" l="1"/>
  <c r="E61" i="4"/>
  <c r="E75" i="4"/>
  <c r="E81" i="4" s="1"/>
  <c r="E82" i="4" s="1"/>
  <c r="M14" i="1"/>
  <c r="E83" i="4" l="1"/>
  <c r="E87" i="4" s="1"/>
</calcChain>
</file>

<file path=xl/sharedStrings.xml><?xml version="1.0" encoding="utf-8"?>
<sst xmlns="http://schemas.openxmlformats.org/spreadsheetml/2006/main" count="205" uniqueCount="150">
  <si>
    <t>Fecha:</t>
  </si>
  <si>
    <t>Ciudad:</t>
  </si>
  <si>
    <t>Nombre:</t>
  </si>
  <si>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</si>
  <si>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</si>
  <si>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</si>
  <si>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</si>
  <si>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</si>
  <si>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</si>
  <si>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</si>
  <si>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</si>
  <si>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</si>
  <si>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</si>
  <si>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</si>
  <si>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</si>
  <si>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</si>
  <si>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</si>
  <si>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</si>
  <si>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</si>
  <si>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</si>
  <si>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</si>
  <si>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</si>
  <si>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</si>
  <si>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</si>
  <si>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</si>
  <si>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</si>
  <si>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</si>
  <si>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</si>
  <si>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</si>
  <si>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</si>
  <si>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</si>
  <si>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</si>
  <si>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</si>
  <si>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</si>
  <si>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</si>
  <si>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</si>
  <si>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</si>
  <si>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</si>
  <si>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</si>
  <si>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</si>
  <si>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</si>
  <si>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</si>
  <si>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</si>
  <si>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</si>
  <si>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</si>
  <si>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</si>
  <si>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</si>
  <si>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</si>
  <si>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</si>
  <si>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</si>
  <si>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</si>
  <si>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</si>
  <si>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</si>
  <si>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</si>
  <si>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</si>
  <si>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</si>
  <si>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</si>
  <si>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</si>
  <si>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</si>
  <si>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</si>
  <si>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</si>
  <si>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</si>
  <si>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</si>
  <si>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</si>
  <si>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</si>
  <si>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</si>
  <si>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</si>
  <si>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</si>
  <si>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</si>
  <si>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</si>
  <si>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CD</t>
  </si>
  <si>
    <t>Sets</t>
  </si>
  <si>
    <t>Moneda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</si>
  <si>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</si>
  <si>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</si>
  <si>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</si>
  <si>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</si>
  <si>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</si>
  <si>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</si>
  <si>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</si>
  <si>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</si>
  <si>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Lázaro Cárdenas #4559
Col. Gabriel Rodríguez
Tijuana B.C.</t>
  </si>
  <si>
    <t>Descripción</t>
  </si>
  <si>
    <t>días hábiles a partir de su orden de compra por escrito.</t>
  </si>
  <si>
    <t>Seleccionar Tipo de Moneda</t>
  </si>
  <si>
    <t>Verifique que la cotización corresponda a lo solicitado.
Agradeciendo su preferencia, quedamos a sus ordenes</t>
  </si>
  <si>
    <t>Evite imprimir este documento si no es necesario, de esta manera ahorra recursos. Cuidemos el Medio ambiente.</t>
  </si>
  <si>
    <t>En atención a:</t>
  </si>
  <si>
    <t>No. Cotización:</t>
  </si>
  <si>
    <t>Sistema Mecanico</t>
  </si>
  <si>
    <t>Total</t>
  </si>
  <si>
    <t>Ensamble</t>
  </si>
  <si>
    <t>Sistema Neumatico</t>
  </si>
  <si>
    <t>Mesa, estación</t>
  </si>
  <si>
    <t>Mano de Obra</t>
  </si>
  <si>
    <t>Qty Hrs</t>
  </si>
  <si>
    <t>Costo Hr</t>
  </si>
  <si>
    <t>Diseño</t>
  </si>
  <si>
    <t xml:space="preserve">Ajuste Mecanico </t>
  </si>
  <si>
    <t>Visitas</t>
  </si>
  <si>
    <t>Total Costos</t>
  </si>
  <si>
    <t>Costo</t>
  </si>
  <si>
    <t>Estación</t>
  </si>
  <si>
    <t>Diseño/Ensamble</t>
  </si>
  <si>
    <t>Gran Total</t>
  </si>
  <si>
    <t>T. C.</t>
  </si>
  <si>
    <t>Gran Total en Pesos</t>
  </si>
  <si>
    <t>Error 30%</t>
  </si>
  <si>
    <t>Convencional</t>
  </si>
  <si>
    <t>Costo Hr CNC/EDM</t>
  </si>
  <si>
    <t>TC</t>
  </si>
  <si>
    <t>Espesor</t>
  </si>
  <si>
    <t>Ancho</t>
  </si>
  <si>
    <t>Largo</t>
  </si>
  <si>
    <t>Cot</t>
  </si>
  <si>
    <t>Name</t>
  </si>
  <si>
    <t>No Parte.</t>
  </si>
  <si>
    <t>Material</t>
  </si>
  <si>
    <t>Dimensiones Material</t>
  </si>
  <si>
    <t>Costo Material</t>
  </si>
  <si>
    <t>Programación</t>
  </si>
  <si>
    <t>CNC</t>
  </si>
  <si>
    <t>EDM</t>
  </si>
  <si>
    <t>Tratamiento</t>
  </si>
  <si>
    <t>P. Unit (30%)</t>
  </si>
  <si>
    <t>Moneda nacional</t>
  </si>
  <si>
    <t>Fechas Cotizacion</t>
  </si>
  <si>
    <t>En atención a su Solicitud ponemos a su consideración la siguiente cotización por los servicios requeridos.</t>
  </si>
  <si>
    <t>Dirección:</t>
  </si>
  <si>
    <t>Column1</t>
  </si>
  <si>
    <t>Column2</t>
  </si>
  <si>
    <t>Total sin 30%</t>
  </si>
  <si>
    <t>Column5</t>
  </si>
  <si>
    <t>-</t>
  </si>
  <si>
    <t>Column4</t>
  </si>
  <si>
    <t>Medtronic México,S.de R.L.de C.V.</t>
  </si>
  <si>
    <t>Paseo del Cucapah # 10510 
Parque Industrial El Lago.</t>
  </si>
  <si>
    <t>No. Vendedor:</t>
  </si>
  <si>
    <t>RFC:</t>
  </si>
  <si>
    <t>CUTA580917281</t>
  </si>
  <si>
    <t>Vigencia de cotización 30 días</t>
  </si>
  <si>
    <t>Tijuana, B.C.</t>
  </si>
  <si>
    <t>Estos precios son en Moneda Nacional Mas IVA 8%</t>
  </si>
  <si>
    <t>Estos Precios son en Dolares mas IVA 8%</t>
  </si>
  <si>
    <t>Tiempo de entrega puede variar al momento de recibir la PO.</t>
  </si>
  <si>
    <t>Esta cotización ha sido calculada en base al total de partes solicitadas, en caso de requerir una cantidad menor, favor de solicitar actualización.</t>
  </si>
  <si>
    <t>Fabricación de Inner Shaft Flaring Pin,  Dibujo #T462753, fabricado en latón,   según especificaciones de plano.</t>
  </si>
  <si>
    <t>8 a 10</t>
  </si>
  <si>
    <r>
      <rPr>
        <b/>
        <sz val="11"/>
        <color theme="1"/>
        <rFont val="Calibri"/>
        <family val="2"/>
        <scheme val="minor"/>
      </rPr>
      <t>Nota</t>
    </r>
    <r>
      <rPr>
        <sz val="11"/>
        <color theme="1"/>
        <rFont val="Calibri"/>
        <family val="2"/>
        <scheme val="minor"/>
      </rPr>
      <t>: Incluye grabado de número de parte</t>
    </r>
  </si>
  <si>
    <t>Ing. Jesús Lomeli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</si>
</sst>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1540A]dd\-mmm\-yy;@"/>
    <numFmt numFmtId="167" formatCode="0.000"/>
    <numFmt numFmtId="168" formatCode="0.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11"/>
      <color theme="4" tint="-0.249977111117893"/>
      <name val="Bahnschrift Light"/>
      <family val="2"/>
    </font>
    <font>
      <b/>
      <sz val="1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9.1999999999999993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" fillId="0" borderId="0" xfId="0" applyFont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164" fontId="0" fillId="0" borderId="2" xfId="0" applyNumberFormat="1" applyBorder="1"/>
    <xf numFmtId="12" fontId="0" fillId="0" borderId="0" xfId="0" applyNumberFormat="1"/>
    <xf numFmtId="0" fontId="0" fillId="0" borderId="2" xfId="0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left"/>
      <protection locked="0"/>
    </xf>
    <xf numFmtId="164" fontId="0" fillId="0" borderId="2" xfId="0" applyNumberFormat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Alignment="1">
      <alignment horizontal="left"/>
    </xf>
    <xf numFmtId="0" fontId="0" fillId="0" borderId="0" xfId="0" applyAlignment="1">
      <alignment wrapText="1"/>
    </xf>
    <xf numFmtId="0" fontId="13" fillId="0" borderId="0" xfId="0" applyFont="1"/>
    <xf numFmtId="0" fontId="0" fillId="0" borderId="0" xfId="0" applyAlignment="1" applyProtection="1">
      <alignment horizontal="center"/>
      <protection locked="0"/>
    </xf>
    <xf numFmtId="0" fontId="16" fillId="0" borderId="0" xfId="0" applyFont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165" fontId="0" fillId="0" borderId="0" xfId="0" applyNumberFormat="1"/>
    <xf numFmtId="9" fontId="0" fillId="0" borderId="0" xfId="0" applyNumberFormat="1"/>
    <xf numFmtId="0" fontId="1" fillId="5" borderId="0" xfId="0" applyFont="1" applyFill="1"/>
    <xf numFmtId="164" fontId="1" fillId="5" borderId="0" xfId="0" applyNumberFormat="1" applyFont="1" applyFill="1"/>
    <xf numFmtId="0" fontId="1" fillId="6" borderId="0" xfId="0" applyFont="1" applyFill="1"/>
    <xf numFmtId="0" fontId="17" fillId="5" borderId="4" xfId="0" applyFont="1" applyFill="1" applyBorder="1"/>
    <xf numFmtId="164" fontId="17" fillId="5" borderId="5" xfId="0" applyNumberFormat="1" applyFont="1" applyFill="1" applyBorder="1"/>
    <xf numFmtId="0" fontId="1" fillId="7" borderId="0" xfId="0" applyFont="1" applyFill="1"/>
    <xf numFmtId="49" fontId="1" fillId="7" borderId="0" xfId="0" applyNumberFormat="1" applyFont="1" applyFill="1"/>
    <xf numFmtId="1" fontId="1" fillId="7" borderId="0" xfId="0" applyNumberFormat="1" applyFont="1" applyFill="1"/>
    <xf numFmtId="0" fontId="2" fillId="7" borderId="0" xfId="0" applyFont="1" applyFill="1"/>
    <xf numFmtId="0" fontId="1" fillId="7" borderId="6" xfId="0" applyFont="1" applyFill="1" applyBorder="1" applyAlignment="1">
      <alignment horizontal="center"/>
    </xf>
    <xf numFmtId="0" fontId="1" fillId="8" borderId="6" xfId="0" applyFont="1" applyFill="1" applyBorder="1"/>
    <xf numFmtId="49" fontId="1" fillId="8" borderId="6" xfId="0" applyNumberFormat="1" applyFont="1" applyFill="1" applyBorder="1"/>
    <xf numFmtId="1" fontId="1" fillId="8" borderId="6" xfId="0" applyNumberFormat="1" applyFont="1" applyFill="1" applyBorder="1"/>
    <xf numFmtId="0" fontId="1" fillId="8" borderId="6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1" fillId="9" borderId="0" xfId="0" applyFont="1" applyFill="1"/>
    <xf numFmtId="166" fontId="1" fillId="9" borderId="0" xfId="0" applyNumberFormat="1" applyFont="1" applyFill="1"/>
    <xf numFmtId="1" fontId="1" fillId="0" borderId="0" xfId="0" applyNumberFormat="1" applyFont="1"/>
    <xf numFmtId="166" fontId="1" fillId="0" borderId="0" xfId="0" applyNumberFormat="1" applyFont="1"/>
    <xf numFmtId="0" fontId="2" fillId="3" borderId="0" xfId="0" applyFont="1" applyFill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 applyProtection="1">
      <alignment vertical="top" wrapText="1"/>
      <protection locked="0"/>
    </xf>
    <xf numFmtId="0" fontId="0" fillId="0" borderId="3" xfId="0" applyBorder="1" applyAlignment="1" applyProtection="1">
      <alignment vertical="top" wrapText="1"/>
      <protection locked="0"/>
    </xf>
    <xf numFmtId="0" fontId="18" fillId="8" borderId="6" xfId="0" applyFont="1" applyFill="1" applyBorder="1" applyAlignment="1">
      <alignment horizontal="center"/>
    </xf>
    <xf numFmtId="0" fontId="2" fillId="4" borderId="0" xfId="0" applyFont="1" applyFill="1"/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right"/>
      <protection locked="0"/>
    </xf>
    <xf numFmtId="164" fontId="0" fillId="0" borderId="9" xfId="0" applyNumberFormat="1" applyBorder="1" applyProtection="1">
      <protection locked="0"/>
    </xf>
    <xf numFmtId="0" fontId="0" fillId="0" borderId="7" xfId="0" applyBorder="1" applyProtection="1">
      <protection locked="0"/>
    </xf>
    <xf numFmtId="164" fontId="0" fillId="0" borderId="9" xfId="0" applyNumberFormat="1" applyBorder="1"/>
    <xf numFmtId="0" fontId="0" fillId="0" borderId="7" xfId="0" applyBorder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1" fillId="0" borderId="0" xfId="0" applyFont="1"/>
    <xf numFmtId="0" fontId="23" fillId="0" borderId="7" xfId="0" applyFont="1" applyBorder="1" applyAlignment="1" applyProtection="1">
      <alignment wrapText="1"/>
      <protection locked="0"/>
    </xf>
    <xf numFmtId="0" fontId="23" fillId="0" borderId="8" xfId="0" applyFont="1" applyBorder="1" applyAlignment="1" applyProtection="1">
      <alignment wrapText="1"/>
      <protection locked="0"/>
    </xf>
    <xf numFmtId="0" fontId="20" fillId="0" borderId="0" xfId="0" applyFont="1" applyProtection="1">
      <protection locked="0"/>
    </xf>
    <xf numFmtId="0" fontId="22" fillId="0" borderId="0" xfId="0" applyFont="1" applyAlignment="1" applyProtection="1">
      <alignment vertical="top" wrapText="1"/>
      <protection locked="0"/>
    </xf>
    <xf numFmtId="0" fontId="1" fillId="4" borderId="0" xfId="0" applyFont="1" applyFill="1"/>
    <xf numFmtId="0" fontId="0" fillId="4" borderId="0" xfId="0" applyFill="1" applyAlignment="1">
      <alignment horizontal="left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 applyProtection="1">
      <alignment horizontal="right" vertical="center"/>
      <protection locked="0"/>
    </xf>
    <xf numFmtId="0" fontId="16" fillId="0" borderId="0" xfId="0" applyFont="1" applyAlignment="1">
      <alignment horizontal="left"/>
    </xf>
    <xf numFmtId="0" fontId="19" fillId="0" borderId="0" xfId="0" applyFont="1" applyAlignment="1" applyProtection="1">
      <alignment vertical="justify" wrapText="1"/>
      <protection locked="0"/>
    </xf>
    <xf numFmtId="0" fontId="0" fillId="0" borderId="0" xfId="0" applyAlignment="1" applyProtection="1">
      <alignment horizontal="center"/>
      <protection locked="0"/>
    </xf>
    <xf numFmtId="0" fontId="24" fillId="4" borderId="0" xfId="0" applyFont="1" applyFill="1" applyAlignment="1">
      <alignment horizontal="left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/>
    </xf>
    <xf numFmtId="166" fontId="2" fillId="0" borderId="0" xfId="0" applyNumberFormat="1" applyFont="1" applyAlignment="1">
      <alignment horizontal="center"/>
    </xf>
    <xf numFmtId="49" fontId="0" fillId="0" borderId="0" xfId="0" applyNumberFormat="1" applyAlignment="1" applyProtection="1">
      <alignment horizontal="left"/>
      <protection locked="0"/>
    </xf>
    <xf numFmtId="0" fontId="15" fillId="0" borderId="0" xfId="0" applyFont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justify" vertical="top" wrapText="1"/>
      <protection locked="0"/>
    </xf>
    <xf numFmtId="0" fontId="0" fillId="0" borderId="3" xfId="0" applyBorder="1" applyAlignment="1" applyProtection="1">
      <alignment horizontal="justify" vertical="top" wrapText="1"/>
      <protection locked="0"/>
    </xf>
    <xf numFmtId="0" fontId="3" fillId="2" borderId="0" xfId="0" applyFont="1" applyFill="1" applyAlignment="1">
      <alignment horizontal="center"/>
    </xf>
    <xf numFmtId="0" fontId="14" fillId="0" borderId="0" xfId="0" applyFont="1" applyAlignment="1">
      <alignment horizontal="center" wrapText="1"/>
    </xf>
    <xf numFmtId="0" fontId="25" fillId="0" borderId="0" xfId="0" applyFont="1" applyAlignment="1">
      <alignment horizontal="right" vertical="center" wrapText="1"/>
    </xf>
    <xf numFmtId="0" fontId="21" fillId="0" borderId="0" xfId="0" applyFont="1" applyAlignment="1">
      <alignment horizontal="right" vertical="center"/>
    </xf>
    <xf numFmtId="0" fontId="26" fillId="0" borderId="10" xfId="0" applyFont="1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4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" formatCode="0"/>
    </dxf>
    <dxf>
      <numFmt numFmtId="167" formatCode="0.000"/>
    </dxf>
    <dxf>
      <numFmt numFmtId="167" formatCode="0.000"/>
    </dxf>
    <dxf>
      <numFmt numFmtId="167" formatCode="0.000"/>
    </dxf>
    <dxf>
      <numFmt numFmtId="1" formatCode="0"/>
    </dxf>
    <dxf>
      <numFmt numFmtId="166" formatCode="[$-1540A]dd\-mmm\-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rgb="FF000000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" formatCode="0"/>
    </dxf>
    <dxf>
      <numFmt numFmtId="167" formatCode="0.000"/>
    </dxf>
    <dxf>
      <numFmt numFmtId="167" formatCode="0.000"/>
    </dxf>
    <dxf>
      <numFmt numFmtId="167" formatCode="0.000"/>
    </dxf>
    <dxf>
      <numFmt numFmtId="1" formatCode="0"/>
    </dxf>
    <dxf>
      <numFmt numFmtId="166" formatCode="[$-1540A]dd\-mmm\-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3</xdr:col>
      <xdr:colOff>283035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3</xdr:col>
      <xdr:colOff>409575</xdr:colOff>
      <xdr:row>0</xdr:row>
      <xdr:rowOff>447675</xdr:rowOff>
    </xdr:from>
    <xdr:to>
      <xdr:col>11</xdr:col>
      <xdr:colOff>644525</xdr:colOff>
      <xdr:row>0</xdr:row>
      <xdr:rowOff>854075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7325" y="4476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16</xdr:col>
      <xdr:colOff>485775</xdr:colOff>
      <xdr:row>1</xdr:row>
      <xdr:rowOff>123825</xdr:rowOff>
    </xdr:from>
    <xdr:to>
      <xdr:col>17</xdr:col>
      <xdr:colOff>304655</xdr:colOff>
      <xdr:row>4</xdr:row>
      <xdr:rowOff>165017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4450" y="1000125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16</xdr:col>
      <xdr:colOff>485776</xdr:colOff>
      <xdr:row>0</xdr:row>
      <xdr:rowOff>190500</xdr:rowOff>
    </xdr:from>
    <xdr:to>
      <xdr:col>17</xdr:col>
      <xdr:colOff>302433</xdr:colOff>
      <xdr:row>0</xdr:row>
      <xdr:rowOff>733425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1" y="190500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885826</xdr:colOff>
      <xdr:row>42</xdr:row>
      <xdr:rowOff>209550</xdr:rowOff>
    </xdr:from>
    <xdr:to>
      <xdr:col>12</xdr:col>
      <xdr:colOff>242889</xdr:colOff>
      <xdr:row>43</xdr:row>
      <xdr:rowOff>180975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6" y="8667750"/>
          <a:ext cx="261938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333375</xdr:colOff>
      <xdr:row>19</xdr:row>
      <xdr:rowOff>142875</xdr:rowOff>
    </xdr:from>
    <xdr:to>
      <xdr:col>6</xdr:col>
      <xdr:colOff>643467</xdr:colOff>
      <xdr:row>24</xdr:row>
      <xdr:rowOff>142875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82C255A-EA17-4201-AA9B-B09CA7C8B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4381500"/>
          <a:ext cx="3119967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504825</xdr:colOff>
      <xdr:row>17</xdr:row>
      <xdr:rowOff>133350</xdr:rowOff>
    </xdr:from>
    <xdr:to>
      <xdr:col>8</xdr:col>
      <xdr:colOff>141948</xdr:colOff>
      <xdr:row>54</xdr:row>
      <xdr:rowOff>56277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DE1F1-9CBD-F60A-C708-87C3B9E95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3533775"/>
          <a:ext cx="6047448" cy="69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17</xdr:row>
      <xdr:rowOff>180975</xdr:rowOff>
    </xdr:from>
    <xdr:to>
      <xdr:col>12</xdr:col>
      <xdr:colOff>534404</xdr:colOff>
      <xdr:row>61</xdr:row>
      <xdr:rowOff>144041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B3841A9-D16D-097D-AC22-9FD8BB56C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7100" y="3581400"/>
          <a:ext cx="7192379" cy="83545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D4A0C64-DEB6-45DE-8170-C744F822E947}" name="Table710" displayName="Table710" ref="A6:U18" totalsRowShown="0" headerRowDxfId="40">
  <autoFilter ref="A6:U18" xr:uid="{4D4A0C64-DEB6-45DE-8170-C744F822E947}"/>
  <tableColumns count="21">
    <tableColumn id="1" xr3:uid="{3DE1F496-E820-42BC-ADC3-E481A1520652}" name="Cot" dataDxfId="39"/>
    <tableColumn id="2" xr3:uid="{318DFBAD-6C2D-465C-8F9C-5D7FFD0C8439}" name="Name"/>
    <tableColumn id="3" xr3:uid="{9E1D9434-640E-497C-B0C5-84CDE00960C5}" name="No Parte." dataDxfId="38"/>
    <tableColumn id="4" xr3:uid="{006CC7ED-D4B4-46C5-A344-2993D5C98F8B}" name="Cantidad" dataDxfId="37"/>
    <tableColumn id="5" xr3:uid="{D06D37AE-63F8-4FE9-8759-5EE25CF1012E}" name="Material"/>
    <tableColumn id="6" xr3:uid="{696BE3FD-3584-4023-AB97-D18AEFD0F845}" name="Dimensiones Material" dataDxfId="36"/>
    <tableColumn id="7" xr3:uid="{82ED8B64-BB3A-4E0B-996E-DCADAC372AA6}" name="Column1" dataDxfId="35"/>
    <tableColumn id="8" xr3:uid="{89797945-F3F0-426A-8213-1E4805421C76}" name="Column2" dataDxfId="34"/>
    <tableColumn id="9" xr3:uid="{43E80312-A7FD-47B0-B421-4E15E6A6D8AD}" name="Costo Material" dataDxfId="33"/>
    <tableColumn id="10" xr3:uid="{C62E71B1-C35B-452D-9B2A-09218D7AE3D8}" name="Programación" dataDxfId="32"/>
    <tableColumn id="11" xr3:uid="{51D635D4-4CD1-4BDF-B73C-7F4010D7479F}" name="CNC" dataDxfId="31"/>
    <tableColumn id="12" xr3:uid="{B8E86B01-29A8-42F7-94E3-44B0C9BD5BD3}" name="Convencional" dataDxfId="30"/>
    <tableColumn id="13" xr3:uid="{481607C9-FF6B-4DB9-B291-C399DEC7ED24}" name="EDM" dataDxfId="29"/>
    <tableColumn id="14" xr3:uid="{DA3CE0D5-4833-4EEF-8C00-306F083A2A36}" name="Tratamiento" dataDxfId="28"/>
    <tableColumn id="15" xr3:uid="{851A155D-3AAD-49F7-B18F-70AEEBA19FC7}" name="Total sin 30%">
      <calculatedColumnFormula>I7+(J7*J$2)+(K7*J$2)+(L7*J$1)+(M7*J$2)+N7</calculatedColumnFormula>
    </tableColumn>
    <tableColumn id="20" xr3:uid="{CD8E5C75-0AC3-4D24-A9CE-C889841BEAF2}" name="Column5"/>
    <tableColumn id="16" xr3:uid="{FC27EB32-DAF0-4BE3-A3D3-F9BD89198381}" name="P. Unit (30%)" dataDxfId="27">
      <calculatedColumnFormula>O7*1.3</calculatedColumnFormula>
    </tableColumn>
    <tableColumn id="21" xr3:uid="{B8A23CB7-50E5-4D53-BD8A-A97B3973EF01}" name="Total" dataDxfId="26">
      <calculatedColumnFormula>Table710[[#This Row],[P. Unit (30%)]]*D7</calculatedColumnFormula>
    </tableColumn>
    <tableColumn id="17" xr3:uid="{7FDA1138-8405-48B7-A951-9D183EAB5090}" name="-"/>
    <tableColumn id="18" xr3:uid="{D5E81F73-7365-4A0C-A90C-8DF67FC51BB9}" name="Moneda nacional">
      <calculatedColumnFormula>Q7*O$2</calculatedColumnFormula>
    </tableColumn>
    <tableColumn id="19" xr3:uid="{61A67A40-E5AA-44B1-84E9-35D9F74FEE45}" name="Column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4C469-10E4-4C01-9569-AB1243114C71}" name="Table22" displayName="Table22" ref="B6:E20" totalsRowCount="1">
  <autoFilter ref="B6:E19" xr:uid="{15183A15-AB2A-4C59-886D-BF2543F4F1D1}"/>
  <tableColumns count="4">
    <tableColumn id="1" xr3:uid="{92EF5B00-CD8F-4DA4-8596-7AABD79BE373}" name="Sistema Mecanico"/>
    <tableColumn id="2" xr3:uid="{510725CB-08A4-4048-BCC3-D648AB325C0D}" name="Cantidad"/>
    <tableColumn id="3" xr3:uid="{2AD4D1AC-1A1D-4ED2-8081-7EBB6864A939}" name="Precio Unitario" totalsRowLabel="Total" totalsRowDxfId="25"/>
    <tableColumn id="4" xr3:uid="{DF10C137-CB0E-4C67-B228-F62CB76263AE}" name="Total" totalsRowFunction="custom" dataDxfId="24" totalsRowDxfId="23">
      <calculatedColumnFormula>Table22[[#This Row],[Cantidad]]*Table22[[#This Row],[Precio Unitario]]</calculatedColumnFormula>
      <totalsRowFormula>SUM(E7:E19)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365F1D-DA9A-4E7D-B89D-33FB8122437B}" name="Table37" displayName="Table37" ref="B24:E33" totalsRowCount="1">
  <autoFilter ref="B24:E32" xr:uid="{F8047B08-20EE-402F-8AA8-8148101D303F}"/>
  <tableColumns count="4">
    <tableColumn id="1" xr3:uid="{ED5DB951-88F0-44FA-B837-2F32D90B5B53}" name="Sistema Neumatico"/>
    <tableColumn id="2" xr3:uid="{AC47C3B0-7C12-4EAB-AA26-BEA00376F2A6}" name="Cantidad"/>
    <tableColumn id="3" xr3:uid="{E48ABB13-8DB1-464A-8BD2-8B97DF731695}" name="Precio Unitario" totalsRowLabel="Total" totalsRowDxfId="22"/>
    <tableColumn id="4" xr3:uid="{56B4EDDC-D3F4-4C25-9CE0-2F1693A1931C}" name="Total" totalsRowFunction="sum" dataDxfId="21" totalsRowDxfId="20">
      <calculatedColumnFormula>Table37[[#This Row],[Cantidad]]*Table37[[#This Row],[Precio Unitario]]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A1D162-898E-4366-805C-7642CE7970C2}" name="Table410" displayName="Table410" ref="B37:E44" totalsRowShown="0">
  <autoFilter ref="B37:E44" xr:uid="{F9094879-7D60-4675-9D63-2AE00B147371}"/>
  <tableColumns count="4">
    <tableColumn id="1" xr3:uid="{05A0178C-BE19-4AAC-9C67-0B2610B83DA9}" name="Mesa, estación"/>
    <tableColumn id="2" xr3:uid="{1032EB92-58B7-4641-8F9A-19C8B8BF6224}" name="Cantidad"/>
    <tableColumn id="3" xr3:uid="{7308C737-AA6B-4A17-A515-A526E7B41275}" name="Precio Unitario"/>
    <tableColumn id="4" xr3:uid="{6A9458FF-77C6-42C7-9897-1E72D28AC2E0}" name="Total" dataDxfId="19">
      <calculatedColumnFormula>Table410[[#This Row],[Cantidad]]*Table410[[#This Row],[Precio Unitario]]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FC30CE-7AD4-42B4-9672-D5FA8DD05F32}" name="Table511" displayName="Table511" ref="B51:E58" totalsRowCount="1">
  <autoFilter ref="B51:E57" xr:uid="{02EEC15C-2F78-4201-BBCF-804A2A2FFA72}"/>
  <tableColumns count="4">
    <tableColumn id="1" xr3:uid="{C91C61A8-6CBE-4F92-8C34-E678ACC2031C}" name="Mano de Obra"/>
    <tableColumn id="2" xr3:uid="{28BEB8AB-CA2F-492F-AB7C-6F8541A669B6}" name="Qty Hrs"/>
    <tableColumn id="3" xr3:uid="{7212442F-F22B-49FD-B292-6056F2287CD9}" name="Costo Hr"/>
    <tableColumn id="4" xr3:uid="{33EE8E05-C92A-42CA-A84C-8C9E25BD1EDD}" name="Total" dataDxfId="18">
      <calculatedColumnFormula>Table511[[#This Row],[Costo Hr]]*Table511[[#This Row],[Qty Hrs]]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ED3ACA-2FC3-41E8-9BCB-230144AEA740}" name="Table712" displayName="Table712" ref="D74:E78" totalsRowShown="0" totalsRowDxfId="17">
  <autoFilter ref="D74:E78" xr:uid="{93079D75-BB53-4202-AB06-EFCD27D18881}"/>
  <tableColumns count="2">
    <tableColumn id="1" xr3:uid="{1850E2F5-BA52-4DEF-80AC-C30577BDEE79}" name="Total Costos" totalsRowDxfId="16"/>
    <tableColumn id="2" xr3:uid="{2B4BA3C7-6013-45A4-990D-BC5B0B728E2A}" name="Costo" totalsRowDxfId="15"/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511830-0D4E-4320-96C6-29DD13AB9887}" name="Table813" displayName="Table813" ref="D80:E83" totalsRowShown="0">
  <autoFilter ref="D80:E83" xr:uid="{46260CCE-C2E4-4F26-953B-59F4DA376303}"/>
  <tableColumns count="2">
    <tableColumn id="1" xr3:uid="{8037A34B-6869-413E-99D1-E95221CC068B}" name="Total"/>
    <tableColumn id="2" xr3:uid="{BEF571A8-CFC1-4C08-9F42-1BDB3D8A1072}" name="Costo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7F61E1-8321-4C17-A8DA-3EADC73BE203}" name="Table7" displayName="Table7" ref="A6:U18" totalsRowShown="0" headerRowDxfId="14">
  <autoFilter ref="A6:U18" xr:uid="{4D7F61E1-8321-4C17-A8DA-3EADC73BE203}"/>
  <tableColumns count="21">
    <tableColumn id="1" xr3:uid="{9E47788F-4173-403C-A90A-8AD307D7390B}" name="Cot" dataDxfId="13"/>
    <tableColumn id="2" xr3:uid="{EA362607-2F11-4635-80A6-97A21CC0B59C}" name="Name"/>
    <tableColumn id="3" xr3:uid="{E5FE3A4B-DD9D-4E7A-8FE2-70E4FF5290C7}" name="No Parte." dataDxfId="12"/>
    <tableColumn id="4" xr3:uid="{078E256C-FEF7-4761-9ED8-876030084245}" name="Cantidad" dataDxfId="11"/>
    <tableColumn id="5" xr3:uid="{94A5DDFC-CC2E-480B-B340-2893D60691AD}" name="Material"/>
    <tableColumn id="6" xr3:uid="{CF94174E-206F-41C3-A459-53BDD0CF3A16}" name="Dimensiones Material" dataDxfId="10"/>
    <tableColumn id="7" xr3:uid="{E63B2312-FA15-4C68-BBDE-4A501EBC5226}" name="Column1" dataDxfId="9"/>
    <tableColumn id="8" xr3:uid="{D5B8FE33-2112-4809-AB0C-381449D61021}" name="Column2" dataDxfId="8"/>
    <tableColumn id="9" xr3:uid="{9DD44A0C-6616-4ED9-A76D-806526070FF0}" name="Costo Material" dataDxfId="7"/>
    <tableColumn id="10" xr3:uid="{13BBFF95-4F8B-456F-9B36-C928FCD276BF}" name="Programación" dataDxfId="6"/>
    <tableColumn id="11" xr3:uid="{7A129E54-4435-4543-9CCB-1E9D5AC0B76C}" name="CNC" dataDxfId="5"/>
    <tableColumn id="12" xr3:uid="{1A6246E4-D85D-427E-B596-90EE0D6A2C25}" name="Convencional" dataDxfId="4"/>
    <tableColumn id="13" xr3:uid="{91F26745-1748-4723-B610-85BE22B1B93B}" name="EDM" dataDxfId="3"/>
    <tableColumn id="14" xr3:uid="{A1D68990-A807-4835-A695-90E1AC1A1AA2}" name="Tratamiento" dataDxfId="2"/>
    <tableColumn id="15" xr3:uid="{61F0216C-5343-4AE8-BFF7-5FF410881A35}" name="Total sin 30%">
      <calculatedColumnFormula>I7+(J7*J$2)+(K7*J$2)+(L7*J$1)+(M7*J$2)+N7</calculatedColumnFormula>
    </tableColumn>
    <tableColumn id="20" xr3:uid="{769F47C0-FA9A-490A-91CA-F8667AA56B31}" name="Column5"/>
    <tableColumn id="16" xr3:uid="{E50B4C6F-1B38-4B04-B2D4-12D1E2F52B1D}" name="P. Unit (30%)" dataDxfId="1">
      <calculatedColumnFormula>O7*1.3</calculatedColumnFormula>
    </tableColumn>
    <tableColumn id="21" xr3:uid="{CF90F47F-26F3-47EF-9F49-B1169A55081F}" name="Total" dataDxfId="0">
      <calculatedColumnFormula>Table7[[#This Row],[P. Unit (30%)]]*D7</calculatedColumnFormula>
    </tableColumn>
    <tableColumn id="17" xr3:uid="{3E8179FC-67F8-4AD5-AF44-D1349FDE89AC}" name="-"/>
    <tableColumn id="18" xr3:uid="{C5309330-7626-4BBF-98D4-3A4141AFB12C}" name="Moneda nacional">
      <calculatedColumnFormula>Q7*O$2</calculatedColumnFormula>
    </tableColumn>
    <tableColumn id="19" xr3:uid="{41D078F2-74B0-424E-94CF-A749DDAF9452}" name="Column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4"/>
  <sheetViews>
    <sheetView tabSelected="1" showWhiteSpace="0" view="pageLayout" zoomScaleNormal="100" workbookViewId="0">
      <selection activeCell="B18" sqref="B18:G18"/>
    </sheetView>
  </sheetViews>
  <sheetFormatPr defaultColWidth="9.140625" defaultRowHeight="15" x14ac:dyDescent="0.25"/>
  <cols>
    <col min="1" max="1" width="2.140625" customWidth="1"/>
    <col min="2" max="2" width="6.140625" customWidth="1"/>
    <col min="3" max="3" width="5.7109375" customWidth="1"/>
    <col min="4" max="4" width="6.5703125" customWidth="1"/>
    <col min="5" max="5" width="10.28515625" customWidth="1"/>
    <col min="6" max="6" width="10.7109375" customWidth="1"/>
    <col min="7" max="7" width="14.28515625" customWidth="1"/>
    <col min="8" max="8" width="4.28515625" customWidth="1"/>
    <col min="9" max="9" width="6.28515625" customWidth="1"/>
    <col min="10" max="10" width="12.140625" customWidth="1"/>
    <col min="11" max="11" width="4.28515625" customWidth="1"/>
    <col min="12" max="12" width="12.5703125" customWidth="1"/>
    <col min="13" max="13" width="6.42578125" customWidth="1"/>
    <col min="14" max="14" width="0.42578125" customWidth="1"/>
  </cols>
  <sheetData>
    <row r="1" spans="1:18" ht="69" customHeight="1" x14ac:dyDescent="0.25">
      <c r="A1" s="78"/>
      <c r="B1" s="78"/>
      <c r="C1" s="78"/>
      <c r="D1" s="78"/>
      <c r="E1" s="78"/>
      <c r="F1" s="78"/>
      <c r="G1" s="78"/>
      <c r="H1" s="78"/>
      <c r="I1" s="78"/>
      <c r="J1" s="1"/>
    </row>
    <row r="2" spans="1:18" x14ac:dyDescent="0.25">
      <c r="B2" s="80" t="s">
        <v>81</v>
      </c>
      <c r="C2" s="80"/>
      <c r="D2" s="80"/>
      <c r="E2" s="80"/>
    </row>
    <row r="3" spans="1:18" ht="15" customHeight="1" x14ac:dyDescent="0.25">
      <c r="B3" s="80"/>
      <c r="C3" s="80"/>
      <c r="D3" s="80"/>
      <c r="E3" s="80"/>
      <c r="G3" s="4" t="s">
        <v>2</v>
      </c>
      <c r="H3" s="81" t="s">
        <v>135</v>
      </c>
      <c r="I3" s="81"/>
      <c r="J3" s="81"/>
      <c r="K3" s="81"/>
      <c r="L3" s="81"/>
      <c r="M3" s="81"/>
      <c r="R3" s="12"/>
    </row>
    <row r="4" spans="1:18" x14ac:dyDescent="0.25">
      <c r="B4" s="80"/>
      <c r="C4" s="80"/>
      <c r="D4" s="80"/>
      <c r="E4" s="80"/>
      <c r="H4" s="81"/>
      <c r="I4" s="81"/>
      <c r="J4" s="81"/>
      <c r="K4" s="81"/>
      <c r="L4" s="81"/>
      <c r="M4" s="81"/>
    </row>
    <row r="5" spans="1:18" ht="15.75" customHeight="1" x14ac:dyDescent="0.25">
      <c r="B5" s="68" t="s">
        <v>137</v>
      </c>
      <c r="C5" s="69"/>
      <c r="D5" s="76">
        <v>30262709</v>
      </c>
      <c r="E5" s="76"/>
      <c r="G5" s="4" t="s">
        <v>128</v>
      </c>
      <c r="H5" s="81" t="s">
        <v>136</v>
      </c>
      <c r="I5" s="81"/>
      <c r="J5" s="81"/>
      <c r="K5" s="81"/>
      <c r="L5" s="81"/>
      <c r="M5" s="81"/>
    </row>
    <row r="6" spans="1:18" ht="15.75" customHeight="1" x14ac:dyDescent="0.25">
      <c r="B6" s="68" t="s">
        <v>138</v>
      </c>
      <c r="C6" s="76" t="s">
        <v>139</v>
      </c>
      <c r="D6" s="76"/>
      <c r="E6" s="76"/>
      <c r="G6" s="4"/>
      <c r="H6" s="81"/>
      <c r="I6" s="81"/>
      <c r="J6" s="81"/>
      <c r="K6" s="81"/>
      <c r="L6" s="81"/>
      <c r="M6" s="81"/>
    </row>
    <row r="7" spans="1:18" ht="15.75" x14ac:dyDescent="0.25">
      <c r="G7" s="4" t="s">
        <v>1</v>
      </c>
      <c r="H7" s="82" t="s">
        <v>141</v>
      </c>
      <c r="I7" s="82"/>
      <c r="J7" s="3"/>
      <c r="K7" s="3"/>
    </row>
    <row r="8" spans="1:18" ht="15.75" x14ac:dyDescent="0.25">
      <c r="B8" s="4" t="s">
        <v>0</v>
      </c>
      <c r="C8" s="83">
        <v>45709</v>
      </c>
      <c r="D8" s="83"/>
      <c r="I8" s="84"/>
      <c r="J8" s="84"/>
      <c r="K8" s="84"/>
      <c r="L8" s="84"/>
      <c r="M8" s="84"/>
    </row>
    <row r="9" spans="1:18" ht="15" customHeight="1" x14ac:dyDescent="0.25">
      <c r="B9" s="79" t="s">
        <v>88</v>
      </c>
      <c r="C9" s="79"/>
      <c r="D9" s="79"/>
      <c r="E9" s="73">
        <v>4508</v>
      </c>
      <c r="G9" s="79" t="s">
        <v>87</v>
      </c>
      <c r="H9" s="79"/>
      <c r="I9" s="84" t="s">
        <v>149</v>
      </c>
      <c r="J9" s="84"/>
      <c r="K9" s="84"/>
      <c r="L9" s="84"/>
      <c r="M9" s="84"/>
      <c r="N9" s="84"/>
    </row>
    <row r="10" spans="1:18" ht="15" customHeight="1" x14ac:dyDescent="0.25">
      <c r="B10" s="61"/>
      <c r="C10" s="61"/>
      <c r="D10" s="61"/>
      <c r="E10" s="21"/>
      <c r="G10" s="62"/>
      <c r="H10" s="62"/>
      <c r="I10" s="75"/>
      <c r="J10" s="75"/>
      <c r="K10" s="75"/>
      <c r="L10" s="20"/>
      <c r="M10" s="20"/>
    </row>
    <row r="11" spans="1:18" ht="3.75" customHeight="1" x14ac:dyDescent="0.25">
      <c r="B11" s="6"/>
      <c r="C11" s="5"/>
      <c r="D11" s="5"/>
    </row>
    <row r="12" spans="1:18" ht="17.25" customHeight="1" x14ac:dyDescent="0.25">
      <c r="B12" s="77" t="s">
        <v>127</v>
      </c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</row>
    <row r="13" spans="1:18" ht="15.75" x14ac:dyDescent="0.25">
      <c r="B13" s="91" t="s">
        <v>82</v>
      </c>
      <c r="C13" s="91"/>
      <c r="D13" s="91"/>
      <c r="E13" s="91"/>
      <c r="F13" s="91"/>
      <c r="G13" s="91"/>
      <c r="H13" s="91" t="s">
        <v>5</v>
      </c>
      <c r="I13" s="91"/>
      <c r="J13" s="91" t="s">
        <v>4</v>
      </c>
      <c r="K13" s="91"/>
      <c r="L13" s="86" t="s">
        <v>3</v>
      </c>
      <c r="M13" s="86"/>
    </row>
    <row r="14" spans="1:18" ht="15" customHeight="1" x14ac:dyDescent="0.25">
      <c r="B14" s="89" t="s">
        <v>146</v>
      </c>
      <c r="C14" s="89"/>
      <c r="D14" s="89"/>
      <c r="E14" s="89"/>
      <c r="F14" s="89"/>
      <c r="G14" s="90"/>
      <c r="H14" s="13">
        <v>10</v>
      </c>
      <c r="I14" s="14" t="s">
        <v>68</v>
      </c>
      <c r="J14" s="15">
        <v>2550</v>
      </c>
      <c r="K14" s="16" t="s">
        <v>78</v>
      </c>
      <c r="L14" s="11">
        <f>IF(H14="","",(J14*H14))</f>
        <v>25500</v>
      </c>
      <c r="M14" t="str">
        <f>IF(K14="","",K14)</f>
        <v>MN</v>
      </c>
    </row>
    <row r="15" spans="1:18" x14ac:dyDescent="0.25">
      <c r="B15" s="89"/>
      <c r="C15" s="89"/>
      <c r="D15" s="89"/>
      <c r="E15" s="89"/>
      <c r="F15" s="89"/>
      <c r="G15" s="90"/>
      <c r="H15" s="13"/>
      <c r="I15" s="14"/>
      <c r="J15" s="15"/>
      <c r="K15" s="16"/>
      <c r="L15" s="11" t="str">
        <f t="shared" ref="L15:L36" si="0">IF(H15="","",(J15*H15))</f>
        <v/>
      </c>
      <c r="M15" t="str">
        <f t="shared" ref="M15:M36" si="1">IF(K15="","",K15)</f>
        <v/>
      </c>
    </row>
    <row r="16" spans="1:18" x14ac:dyDescent="0.25">
      <c r="B16" s="89"/>
      <c r="C16" s="89"/>
      <c r="D16" s="89"/>
      <c r="E16" s="89"/>
      <c r="F16" s="89"/>
      <c r="G16" s="90"/>
      <c r="H16" s="13"/>
      <c r="I16" s="14"/>
      <c r="J16" s="15"/>
      <c r="K16" s="16"/>
      <c r="L16" s="11" t="str">
        <f t="shared" si="0"/>
        <v/>
      </c>
      <c r="M16" t="str">
        <f t="shared" si="1"/>
        <v/>
      </c>
    </row>
    <row r="17" spans="2:13" ht="15" customHeight="1" x14ac:dyDescent="0.25">
      <c r="B17" s="51"/>
      <c r="C17" s="51"/>
      <c r="D17" s="51"/>
      <c r="E17" s="51"/>
      <c r="F17" s="51"/>
      <c r="G17" s="52"/>
      <c r="H17" s="13"/>
      <c r="I17" s="14"/>
      <c r="J17" s="15"/>
      <c r="K17" s="16"/>
      <c r="L17" s="11" t="str">
        <f t="shared" si="0"/>
        <v/>
      </c>
      <c r="M17" t="str">
        <f t="shared" si="1"/>
        <v/>
      </c>
    </row>
    <row r="18" spans="2:13" ht="15" customHeight="1" x14ac:dyDescent="0.25">
      <c r="B18" s="81" t="s">
        <v>148</v>
      </c>
      <c r="C18" s="81"/>
      <c r="D18" s="81"/>
      <c r="E18" s="81"/>
      <c r="F18" s="81"/>
      <c r="G18" s="96"/>
      <c r="H18" s="13"/>
      <c r="I18" s="14"/>
      <c r="J18" s="15"/>
      <c r="K18" s="16"/>
      <c r="L18" s="11" t="str">
        <f t="shared" si="0"/>
        <v/>
      </c>
      <c r="M18" t="str">
        <f t="shared" si="1"/>
        <v/>
      </c>
    </row>
    <row r="19" spans="2:13" x14ac:dyDescent="0.25">
      <c r="B19" s="51"/>
      <c r="C19" s="51"/>
      <c r="D19" s="51"/>
      <c r="E19" s="51"/>
      <c r="F19" s="51"/>
      <c r="G19" s="52"/>
      <c r="H19" s="13"/>
      <c r="I19" s="14"/>
      <c r="J19" s="15"/>
      <c r="K19" s="16"/>
      <c r="L19" s="11" t="str">
        <f t="shared" si="0"/>
        <v/>
      </c>
      <c r="M19" t="str">
        <f t="shared" si="1"/>
        <v/>
      </c>
    </row>
    <row r="20" spans="2:13" x14ac:dyDescent="0.25">
      <c r="B20" s="51"/>
      <c r="C20" s="51"/>
      <c r="D20" s="51"/>
      <c r="E20" s="51"/>
      <c r="F20" s="51"/>
      <c r="G20" s="52"/>
      <c r="H20" s="13"/>
      <c r="I20" s="14"/>
      <c r="J20" s="15"/>
      <c r="K20" s="16"/>
      <c r="L20" s="11" t="str">
        <f t="shared" si="0"/>
        <v/>
      </c>
      <c r="M20" t="str">
        <f t="shared" si="1"/>
        <v/>
      </c>
    </row>
    <row r="21" spans="2:13" x14ac:dyDescent="0.25">
      <c r="B21" s="51"/>
      <c r="C21" s="51"/>
      <c r="D21" s="51"/>
      <c r="E21" s="51"/>
      <c r="F21" s="51"/>
      <c r="G21" s="52"/>
      <c r="H21" s="13"/>
      <c r="I21" s="14"/>
      <c r="J21" s="15"/>
      <c r="K21" s="16"/>
      <c r="L21" s="11" t="str">
        <f t="shared" si="0"/>
        <v/>
      </c>
      <c r="M21" t="str">
        <f t="shared" si="1"/>
        <v/>
      </c>
    </row>
    <row r="22" spans="2:13" x14ac:dyDescent="0.25">
      <c r="B22" s="51"/>
      <c r="C22" s="51"/>
      <c r="D22" s="51"/>
      <c r="E22" s="51"/>
      <c r="F22" s="51"/>
      <c r="G22" s="52"/>
      <c r="H22" s="13"/>
      <c r="I22" s="14"/>
      <c r="J22" s="15"/>
      <c r="K22" s="16"/>
      <c r="L22" s="11" t="str">
        <f t="shared" si="0"/>
        <v/>
      </c>
      <c r="M22" t="str">
        <f t="shared" si="1"/>
        <v/>
      </c>
    </row>
    <row r="23" spans="2:13" ht="15" customHeight="1" x14ac:dyDescent="0.25">
      <c r="B23" s="51"/>
      <c r="C23" s="51"/>
      <c r="D23" s="51"/>
      <c r="E23" s="51"/>
      <c r="F23" s="51"/>
      <c r="G23" s="52"/>
      <c r="H23" s="13"/>
      <c r="I23" s="14"/>
      <c r="J23" s="15"/>
      <c r="K23" s="16"/>
      <c r="L23" s="11" t="str">
        <f t="shared" si="0"/>
        <v/>
      </c>
      <c r="M23" t="str">
        <f t="shared" si="1"/>
        <v/>
      </c>
    </row>
    <row r="24" spans="2:13" x14ac:dyDescent="0.25">
      <c r="B24" s="51"/>
      <c r="C24" s="51"/>
      <c r="D24" s="51"/>
      <c r="E24" s="51"/>
      <c r="F24" s="51"/>
      <c r="G24" s="52"/>
      <c r="H24" s="13"/>
      <c r="I24" s="14"/>
      <c r="J24" s="15"/>
      <c r="K24" s="16"/>
      <c r="L24" s="11" t="str">
        <f t="shared" si="0"/>
        <v/>
      </c>
      <c r="M24" t="str">
        <f t="shared" si="1"/>
        <v/>
      </c>
    </row>
    <row r="25" spans="2:13" x14ac:dyDescent="0.25">
      <c r="B25" s="51"/>
      <c r="C25" s="51"/>
      <c r="D25" s="51"/>
      <c r="E25" s="51"/>
      <c r="F25" s="51"/>
      <c r="G25" s="52"/>
      <c r="H25" s="13"/>
      <c r="I25" s="14"/>
      <c r="J25" s="15"/>
      <c r="K25" s="16"/>
      <c r="L25" s="11" t="str">
        <f t="shared" si="0"/>
        <v/>
      </c>
      <c r="M25" t="str">
        <f t="shared" si="1"/>
        <v/>
      </c>
    </row>
    <row r="26" spans="2:13" ht="15" customHeight="1" x14ac:dyDescent="0.25">
      <c r="B26" s="66"/>
      <c r="C26" s="51"/>
      <c r="D26" s="51"/>
      <c r="E26" s="51"/>
      <c r="F26" s="51"/>
      <c r="G26" s="52"/>
      <c r="H26" s="13"/>
      <c r="I26" s="14"/>
      <c r="J26" s="15"/>
      <c r="K26" s="16"/>
      <c r="L26" s="11" t="str">
        <f t="shared" si="0"/>
        <v/>
      </c>
      <c r="M26" t="str">
        <f t="shared" si="1"/>
        <v/>
      </c>
    </row>
    <row r="27" spans="2:13" ht="14.25" customHeight="1" x14ac:dyDescent="0.25">
      <c r="B27" s="51"/>
      <c r="C27" s="51"/>
      <c r="D27" s="51"/>
      <c r="E27" s="51"/>
      <c r="F27" s="51"/>
      <c r="G27" s="52"/>
      <c r="H27" s="13"/>
      <c r="I27" s="14"/>
      <c r="J27" s="15"/>
      <c r="K27" s="16"/>
      <c r="L27" s="11" t="str">
        <f t="shared" si="0"/>
        <v/>
      </c>
      <c r="M27" t="str">
        <f t="shared" si="1"/>
        <v/>
      </c>
    </row>
    <row r="28" spans="2:13" ht="14.45" customHeight="1" x14ac:dyDescent="0.25">
      <c r="B28" s="74"/>
      <c r="C28" s="74"/>
      <c r="D28" s="74"/>
      <c r="E28" s="74"/>
      <c r="F28" s="74"/>
      <c r="G28" s="74"/>
      <c r="H28" s="13"/>
      <c r="I28" s="14"/>
      <c r="J28" s="15"/>
      <c r="K28" s="16"/>
      <c r="L28" s="11" t="str">
        <f t="shared" si="0"/>
        <v/>
      </c>
      <c r="M28" t="str">
        <f t="shared" si="1"/>
        <v/>
      </c>
    </row>
    <row r="29" spans="2:13" x14ac:dyDescent="0.25">
      <c r="B29" s="74"/>
      <c r="C29" s="74"/>
      <c r="D29" s="74"/>
      <c r="E29" s="74"/>
      <c r="F29" s="74"/>
      <c r="G29" s="74"/>
      <c r="H29" s="13"/>
      <c r="I29" s="14"/>
      <c r="J29" s="15"/>
      <c r="K29" s="16"/>
      <c r="L29" s="11" t="str">
        <f t="shared" si="0"/>
        <v/>
      </c>
      <c r="M29" t="str">
        <f t="shared" si="1"/>
        <v/>
      </c>
    </row>
    <row r="30" spans="2:13" x14ac:dyDescent="0.25">
      <c r="B30" s="74"/>
      <c r="C30" s="74"/>
      <c r="D30" s="74"/>
      <c r="E30" s="74"/>
      <c r="F30" s="74"/>
      <c r="G30" s="74"/>
      <c r="H30" s="13"/>
      <c r="I30" s="14"/>
      <c r="J30" s="15"/>
      <c r="K30" s="16"/>
      <c r="L30" s="11" t="str">
        <f t="shared" si="0"/>
        <v/>
      </c>
      <c r="M30" t="str">
        <f t="shared" si="1"/>
        <v/>
      </c>
    </row>
    <row r="31" spans="2:13" x14ac:dyDescent="0.25">
      <c r="B31" s="74"/>
      <c r="C31" s="74"/>
      <c r="D31" s="74"/>
      <c r="E31" s="74"/>
      <c r="F31" s="74"/>
      <c r="G31" s="74"/>
      <c r="H31" s="13"/>
      <c r="I31" s="14"/>
      <c r="J31" s="15"/>
      <c r="K31" s="16"/>
      <c r="L31" s="11"/>
    </row>
    <row r="32" spans="2:13" x14ac:dyDescent="0.25">
      <c r="B32" s="74"/>
      <c r="C32" s="74"/>
      <c r="D32" s="74"/>
      <c r="E32" s="74"/>
      <c r="F32" s="74"/>
      <c r="G32" s="74"/>
      <c r="H32" s="13"/>
      <c r="I32" s="14"/>
      <c r="J32" s="15"/>
      <c r="K32" s="16"/>
      <c r="L32" s="11" t="str">
        <f t="shared" si="0"/>
        <v/>
      </c>
      <c r="M32" t="str">
        <f t="shared" si="1"/>
        <v/>
      </c>
    </row>
    <row r="33" spans="1:16" x14ac:dyDescent="0.25">
      <c r="B33" s="51"/>
      <c r="C33" s="51"/>
      <c r="D33" s="51"/>
      <c r="E33" s="51"/>
      <c r="F33" s="51"/>
      <c r="G33" s="52"/>
      <c r="H33" s="13"/>
      <c r="I33" s="14"/>
      <c r="J33" s="15"/>
      <c r="K33" s="16"/>
      <c r="L33" s="11" t="str">
        <f t="shared" si="0"/>
        <v/>
      </c>
      <c r="M33" t="str">
        <f t="shared" si="1"/>
        <v/>
      </c>
    </row>
    <row r="34" spans="1:16" x14ac:dyDescent="0.25">
      <c r="B34" s="51"/>
      <c r="C34" s="51"/>
      <c r="D34" s="51"/>
      <c r="E34" s="51"/>
      <c r="F34" s="51"/>
      <c r="G34" s="52"/>
      <c r="H34" s="13"/>
      <c r="I34" s="14"/>
      <c r="J34" s="15"/>
      <c r="K34" s="16"/>
      <c r="L34" s="11"/>
    </row>
    <row r="35" spans="1:16" x14ac:dyDescent="0.25">
      <c r="B35" s="89"/>
      <c r="C35" s="89"/>
      <c r="D35" s="89"/>
      <c r="E35" s="89"/>
      <c r="F35" s="89"/>
      <c r="G35" s="90"/>
      <c r="H35" s="13"/>
      <c r="I35" s="14"/>
      <c r="J35" s="15"/>
      <c r="K35" s="16"/>
      <c r="L35" s="11" t="str">
        <f t="shared" si="0"/>
        <v/>
      </c>
      <c r="M35" t="str">
        <f t="shared" si="1"/>
        <v/>
      </c>
    </row>
    <row r="36" spans="1:16" ht="10.15" customHeight="1" x14ac:dyDescent="0.25">
      <c r="B36" s="60"/>
      <c r="C36" s="64"/>
      <c r="D36" s="64"/>
      <c r="E36" s="64"/>
      <c r="F36" s="64"/>
      <c r="G36" s="65"/>
      <c r="H36" s="56"/>
      <c r="I36" s="55"/>
      <c r="J36" s="57"/>
      <c r="K36" s="58"/>
      <c r="L36" s="59" t="str">
        <f t="shared" si="0"/>
        <v/>
      </c>
      <c r="M36" s="60" t="str">
        <f t="shared" si="1"/>
        <v/>
      </c>
    </row>
    <row r="37" spans="1:16" ht="15.6" customHeight="1" x14ac:dyDescent="0.25">
      <c r="A37" s="67"/>
      <c r="B37" s="95" t="s">
        <v>145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</row>
    <row r="38" spans="1:16" ht="15.6" customHeight="1" x14ac:dyDescent="0.3">
      <c r="C38" s="17" t="s">
        <v>73</v>
      </c>
      <c r="D38" s="70"/>
      <c r="E38" s="71"/>
      <c r="F38" s="72" t="s">
        <v>147</v>
      </c>
      <c r="G38" s="87" t="s">
        <v>83</v>
      </c>
      <c r="H38" s="87"/>
      <c r="I38" s="87"/>
      <c r="J38" s="87"/>
      <c r="K38" s="87"/>
      <c r="L38" s="87"/>
      <c r="M38" s="87"/>
    </row>
    <row r="39" spans="1:16" ht="13.9" customHeight="1" x14ac:dyDescent="0.25">
      <c r="B39" s="93" t="s">
        <v>144</v>
      </c>
      <c r="C39" s="93"/>
      <c r="D39" s="93"/>
      <c r="E39" s="93"/>
      <c r="F39" s="93"/>
      <c r="G39" s="93"/>
      <c r="H39" s="93"/>
      <c r="I39" s="93"/>
      <c r="J39" s="94" t="s">
        <v>140</v>
      </c>
      <c r="K39" s="94"/>
      <c r="L39" s="94"/>
      <c r="M39" s="94"/>
      <c r="N39" s="63"/>
      <c r="O39" s="63"/>
      <c r="P39" s="63"/>
    </row>
    <row r="40" spans="1:16" ht="15" customHeight="1" x14ac:dyDescent="0.3">
      <c r="E40" s="88" t="s">
        <v>142</v>
      </c>
      <c r="F40" s="88"/>
      <c r="G40" s="88"/>
      <c r="H40" s="88"/>
      <c r="I40" s="88"/>
      <c r="J40" s="88"/>
    </row>
    <row r="41" spans="1:16" ht="0.75" customHeight="1" x14ac:dyDescent="0.25"/>
    <row r="42" spans="1:16" ht="8.25" customHeight="1" x14ac:dyDescent="0.25">
      <c r="B42" s="92" t="s">
        <v>85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</row>
    <row r="43" spans="1:16" ht="21.75" customHeight="1" x14ac:dyDescent="0.25"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</row>
    <row r="44" spans="1:16" x14ac:dyDescent="0.25">
      <c r="B44" s="85" t="s">
        <v>86</v>
      </c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</row>
  </sheetData>
  <sheetProtection formatCells="0" formatColumns="0" formatRows="0" selectLockedCells="1"/>
  <mergeCells count="28">
    <mergeCell ref="B44:M44"/>
    <mergeCell ref="L13:M13"/>
    <mergeCell ref="G38:M38"/>
    <mergeCell ref="E40:J40"/>
    <mergeCell ref="B35:G35"/>
    <mergeCell ref="B13:G13"/>
    <mergeCell ref="J13:K13"/>
    <mergeCell ref="H13:I13"/>
    <mergeCell ref="B42:M43"/>
    <mergeCell ref="B39:I39"/>
    <mergeCell ref="J39:M39"/>
    <mergeCell ref="B37:M37"/>
    <mergeCell ref="B14:G16"/>
    <mergeCell ref="B18:G18"/>
    <mergeCell ref="I10:K10"/>
    <mergeCell ref="D5:E5"/>
    <mergeCell ref="B12:M12"/>
    <mergeCell ref="A1:I1"/>
    <mergeCell ref="B9:D9"/>
    <mergeCell ref="G9:H9"/>
    <mergeCell ref="B2:E4"/>
    <mergeCell ref="H3:M4"/>
    <mergeCell ref="H7:I7"/>
    <mergeCell ref="C6:E6"/>
    <mergeCell ref="C8:D8"/>
    <mergeCell ref="I8:M8"/>
    <mergeCell ref="H5:M6"/>
    <mergeCell ref="I9:N9"/>
  </mergeCells>
  <pageMargins left="0.25" right="0.25" top="0.75" bottom="0.75" header="0.3" footer="0.3"/>
  <pageSetup orientation="portrait" r:id="rId1"/>
  <headerFooter>
    <oddHeader>&amp;C&amp;"-,Bold"&amp;12&amp;K00-010
&amp;U___________________________________________________________________________________</oddHeader>
    <oddFooter xml:space="preserve">&amp;C&amp;"-,Bold"&amp;12&amp;K00-038___________________________________________________________________________________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Sheet3!$F$6:$F$8</xm:f>
          </x14:formula1>
          <xm:sqref>E40:J40</xm:sqref>
        </x14:dataValidation>
        <x14:dataValidation type="list" allowBlank="1" showInputMessage="1" showErrorMessage="1" xr:uid="{00000000-0002-0000-0000-000001000000}">
          <x14:formula1>
            <xm:f>Sheet3!$C$6:$C$10</xm:f>
          </x14:formula1>
          <xm:sqref>I14:I36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K14:K36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E3C5E-B893-4A38-858C-66583FF65C7C}">
  <dimension ref="A1:X18"/>
  <sheetViews>
    <sheetView topLeftCell="A4" workbookViewId="0">
      <selection activeCell="J20" sqref="J20"/>
    </sheetView>
  </sheetViews>
  <sheetFormatPr defaultColWidth="9.140625" defaultRowHeight="15" x14ac:dyDescent="0.25"/>
  <cols>
    <col min="3" max="3" width="11.42578125" customWidth="1"/>
    <col min="4" max="4" width="11" customWidth="1"/>
    <col min="5" max="5" width="10.7109375" customWidth="1"/>
    <col min="6" max="6" width="22.7109375" customWidth="1"/>
    <col min="7" max="8" width="11" customWidth="1"/>
    <col min="9" max="9" width="16.140625" customWidth="1"/>
    <col min="10" max="10" width="15.28515625" customWidth="1"/>
    <col min="12" max="12" width="15.140625" customWidth="1"/>
    <col min="14" max="14" width="14" customWidth="1"/>
    <col min="15" max="15" width="14.7109375" bestFit="1" customWidth="1"/>
    <col min="17" max="18" width="15.7109375" customWidth="1"/>
    <col min="19" max="19" width="11" customWidth="1"/>
    <col min="20" max="20" width="18.42578125" customWidth="1"/>
    <col min="21" max="21" width="11" customWidth="1"/>
  </cols>
  <sheetData>
    <row r="1" spans="1:24" ht="15.75" x14ac:dyDescent="0.25">
      <c r="A1" s="32"/>
      <c r="B1" s="32"/>
      <c r="C1" s="33"/>
      <c r="D1" s="34"/>
      <c r="E1" s="32"/>
      <c r="F1" s="32"/>
      <c r="G1" s="32"/>
      <c r="H1" s="32"/>
      <c r="I1" s="32" t="s">
        <v>108</v>
      </c>
      <c r="J1" s="32">
        <v>35</v>
      </c>
      <c r="K1" s="32"/>
      <c r="L1" s="32"/>
      <c r="M1" s="32"/>
      <c r="N1" s="32"/>
      <c r="O1" s="32"/>
      <c r="P1" s="32"/>
      <c r="Q1" s="35"/>
      <c r="R1" s="35"/>
      <c r="S1" s="32"/>
      <c r="T1" s="32"/>
      <c r="U1" s="32"/>
      <c r="V1" s="32"/>
      <c r="W1" s="32"/>
      <c r="X1" s="32"/>
    </row>
    <row r="2" spans="1:24" ht="15.75" x14ac:dyDescent="0.25">
      <c r="A2" s="32"/>
      <c r="B2" s="32"/>
      <c r="C2" s="33"/>
      <c r="D2" s="34"/>
      <c r="E2" s="32"/>
      <c r="F2" s="32"/>
      <c r="G2" s="32"/>
      <c r="H2" s="32"/>
      <c r="I2" s="32" t="s">
        <v>109</v>
      </c>
      <c r="J2" s="32">
        <v>45</v>
      </c>
      <c r="K2" s="32"/>
      <c r="L2" s="32"/>
      <c r="M2" s="32"/>
      <c r="N2" s="32" t="s">
        <v>110</v>
      </c>
      <c r="O2" s="32">
        <v>20</v>
      </c>
      <c r="P2" s="32"/>
      <c r="Q2" s="35"/>
      <c r="R2" s="35"/>
      <c r="S2" s="32"/>
      <c r="T2" s="32"/>
      <c r="U2" s="32"/>
      <c r="V2" s="32"/>
      <c r="W2" s="32"/>
      <c r="X2" s="32"/>
    </row>
    <row r="3" spans="1:24" ht="15.75" x14ac:dyDescent="0.25">
      <c r="A3" s="32"/>
      <c r="B3" s="32"/>
      <c r="C3" s="32"/>
      <c r="D3" s="34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5"/>
      <c r="R3" s="35"/>
      <c r="S3" s="32"/>
      <c r="T3" s="32"/>
      <c r="U3" s="32"/>
      <c r="V3" s="32"/>
      <c r="W3" s="32"/>
      <c r="X3" s="32"/>
    </row>
    <row r="4" spans="1:24" ht="15.75" x14ac:dyDescent="0.25">
      <c r="A4" s="32"/>
      <c r="B4" s="32"/>
      <c r="C4" s="33"/>
      <c r="D4" s="34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5"/>
      <c r="R4" s="35"/>
      <c r="S4" s="32"/>
      <c r="T4" s="32"/>
      <c r="U4" s="32"/>
      <c r="V4" s="32"/>
      <c r="W4" s="32"/>
      <c r="X4" s="32"/>
    </row>
    <row r="5" spans="1:24" ht="15.75" x14ac:dyDescent="0.25">
      <c r="A5" s="32"/>
      <c r="B5" s="32"/>
      <c r="C5" s="32"/>
      <c r="D5" s="34"/>
      <c r="E5" s="32"/>
      <c r="F5" s="36" t="s">
        <v>111</v>
      </c>
      <c r="G5" s="36" t="s">
        <v>112</v>
      </c>
      <c r="H5" s="36" t="s">
        <v>113</v>
      </c>
      <c r="I5" s="32"/>
      <c r="J5" s="32"/>
      <c r="K5" s="32"/>
      <c r="L5" s="32"/>
      <c r="M5" s="32"/>
      <c r="N5" s="32"/>
      <c r="O5" s="32"/>
      <c r="P5" s="32"/>
      <c r="Q5" s="35"/>
      <c r="R5" s="35"/>
      <c r="S5" s="32"/>
      <c r="T5" s="32"/>
      <c r="U5" s="32"/>
      <c r="V5" s="32"/>
      <c r="W5" s="32"/>
      <c r="X5" s="32"/>
    </row>
    <row r="6" spans="1:24" ht="15.75" x14ac:dyDescent="0.25">
      <c r="A6" s="32" t="s">
        <v>114</v>
      </c>
      <c r="B6" s="37" t="s">
        <v>115</v>
      </c>
      <c r="C6" s="38" t="s">
        <v>116</v>
      </c>
      <c r="D6" s="39" t="s">
        <v>5</v>
      </c>
      <c r="E6" s="37" t="s">
        <v>117</v>
      </c>
      <c r="F6" s="40" t="s">
        <v>118</v>
      </c>
      <c r="G6" s="40" t="s">
        <v>129</v>
      </c>
      <c r="H6" s="40" t="s">
        <v>130</v>
      </c>
      <c r="I6" s="37" t="s">
        <v>119</v>
      </c>
      <c r="J6" s="37" t="s">
        <v>120</v>
      </c>
      <c r="K6" s="40" t="s">
        <v>121</v>
      </c>
      <c r="L6" s="40" t="s">
        <v>108</v>
      </c>
      <c r="M6" s="40" t="s">
        <v>122</v>
      </c>
      <c r="N6" s="37" t="s">
        <v>123</v>
      </c>
      <c r="O6" s="37" t="s">
        <v>131</v>
      </c>
      <c r="P6" s="37" t="s">
        <v>132</v>
      </c>
      <c r="Q6" s="53" t="s">
        <v>124</v>
      </c>
      <c r="R6" s="41" t="s">
        <v>90</v>
      </c>
      <c r="S6" s="37" t="s">
        <v>133</v>
      </c>
      <c r="T6" s="37" t="s">
        <v>125</v>
      </c>
      <c r="U6" s="37" t="s">
        <v>134</v>
      </c>
      <c r="V6" s="3"/>
      <c r="W6" s="3"/>
      <c r="X6" s="3"/>
    </row>
    <row r="7" spans="1:24" ht="15.75" x14ac:dyDescent="0.25">
      <c r="A7" s="32"/>
      <c r="B7" s="42" t="s">
        <v>126</v>
      </c>
      <c r="C7" s="43"/>
      <c r="D7" s="44"/>
      <c r="E7" s="3"/>
      <c r="F7" s="3"/>
      <c r="G7" s="3"/>
      <c r="H7" s="3"/>
      <c r="I7" s="44"/>
      <c r="J7" s="3"/>
      <c r="K7" s="3"/>
      <c r="L7" s="3"/>
      <c r="M7" s="3"/>
      <c r="N7" s="3"/>
      <c r="O7" s="3"/>
      <c r="P7" s="3"/>
      <c r="Q7" s="4"/>
      <c r="R7" s="4"/>
      <c r="S7" s="3"/>
      <c r="T7" s="3"/>
      <c r="U7" s="3"/>
      <c r="V7" s="3"/>
      <c r="W7" s="3"/>
      <c r="X7" s="3"/>
    </row>
    <row r="8" spans="1:24" ht="15.75" x14ac:dyDescent="0.25">
      <c r="A8" s="32"/>
      <c r="B8" s="3"/>
      <c r="C8" s="45"/>
      <c r="D8" s="44"/>
      <c r="E8" s="3"/>
      <c r="F8" s="3"/>
      <c r="G8" s="3"/>
      <c r="H8" s="3"/>
      <c r="I8" s="44"/>
      <c r="J8" s="3"/>
      <c r="K8" s="3"/>
      <c r="L8" s="3"/>
      <c r="M8" s="3"/>
      <c r="N8" s="3"/>
      <c r="O8">
        <f>I8+(J8*J$2)+(K8*J$2)+(L8*J$1)+(M8*J$2)+N8</f>
        <v>0</v>
      </c>
      <c r="Q8" s="54">
        <f>O8*1.3</f>
        <v>0</v>
      </c>
      <c r="R8" s="46">
        <f>Table710[[#This Row],[P. Unit (30%)]]*D8</f>
        <v>0</v>
      </c>
      <c r="S8" s="3"/>
      <c r="T8">
        <f>Q8*O$2</f>
        <v>0</v>
      </c>
      <c r="U8" s="3"/>
      <c r="V8" s="3"/>
      <c r="W8" s="3"/>
      <c r="X8" s="3"/>
    </row>
    <row r="9" spans="1:24" ht="15.75" x14ac:dyDescent="0.25">
      <c r="A9" s="32">
        <v>1</v>
      </c>
      <c r="C9" s="47"/>
      <c r="D9" s="48"/>
      <c r="F9" s="49"/>
      <c r="G9" s="49"/>
      <c r="H9" s="49"/>
      <c r="I9" s="48"/>
      <c r="O9">
        <f>I9+(J9*J$2)+(K9*J$2)+(L9*J$1)+(M9*J$2)+N9</f>
        <v>0</v>
      </c>
      <c r="Q9" s="54">
        <f>O9*1.3</f>
        <v>0</v>
      </c>
      <c r="R9" s="46">
        <f>Table710[[#This Row],[P. Unit (30%)]]*D9</f>
        <v>0</v>
      </c>
      <c r="T9">
        <f t="shared" ref="T9:T18" si="0">Q9*O$2</f>
        <v>0</v>
      </c>
      <c r="X9">
        <f>((F9^2)+(G9^2))^(1/2)</f>
        <v>0</v>
      </c>
    </row>
    <row r="10" spans="1:24" ht="15.75" x14ac:dyDescent="0.25">
      <c r="A10" s="32">
        <v>2</v>
      </c>
      <c r="C10" s="47"/>
      <c r="D10" s="48"/>
      <c r="F10" s="49"/>
      <c r="G10" s="49"/>
      <c r="H10" s="49"/>
      <c r="I10" s="48"/>
      <c r="O10">
        <f t="shared" ref="O10:O18" si="1">I10+(J10*J$2)+(K10*J$2)+(L10*J$1)+(M10*J$2)+N10</f>
        <v>0</v>
      </c>
      <c r="Q10" s="54">
        <f t="shared" ref="Q10:Q18" si="2">O10*1.3</f>
        <v>0</v>
      </c>
      <c r="R10" s="46">
        <f>Table710[[#This Row],[P. Unit (30%)]]*D10</f>
        <v>0</v>
      </c>
      <c r="T10">
        <f t="shared" si="0"/>
        <v>0</v>
      </c>
      <c r="X10">
        <f t="shared" ref="X10:X18" si="3">((F10^2)+(G10^2))^(1/2)</f>
        <v>0</v>
      </c>
    </row>
    <row r="11" spans="1:24" ht="15.75" x14ac:dyDescent="0.25">
      <c r="A11" s="32">
        <v>3</v>
      </c>
      <c r="C11" s="47"/>
      <c r="D11" s="48"/>
      <c r="F11" s="49"/>
      <c r="G11" s="49"/>
      <c r="H11" s="49"/>
      <c r="I11" s="48"/>
      <c r="J11" s="50"/>
      <c r="K11" s="50"/>
      <c r="L11" s="50"/>
      <c r="M11" s="50"/>
      <c r="O11">
        <f t="shared" si="1"/>
        <v>0</v>
      </c>
      <c r="Q11" s="54">
        <f t="shared" si="2"/>
        <v>0</v>
      </c>
      <c r="R11" s="46">
        <f>Table710[[#This Row],[P. Unit (30%)]]*D11</f>
        <v>0</v>
      </c>
      <c r="T11">
        <f t="shared" si="0"/>
        <v>0</v>
      </c>
      <c r="X11">
        <f t="shared" si="3"/>
        <v>0</v>
      </c>
    </row>
    <row r="12" spans="1:24" ht="15.75" x14ac:dyDescent="0.25">
      <c r="A12" s="32">
        <v>4</v>
      </c>
      <c r="C12" s="47"/>
      <c r="D12" s="48"/>
      <c r="F12" s="49"/>
      <c r="G12" s="49"/>
      <c r="H12" s="49"/>
      <c r="I12" s="48"/>
      <c r="J12" s="50"/>
      <c r="K12" s="50"/>
      <c r="L12" s="50"/>
      <c r="M12" s="50"/>
      <c r="N12" s="50"/>
      <c r="O12">
        <f t="shared" si="1"/>
        <v>0</v>
      </c>
      <c r="Q12" s="54">
        <f t="shared" si="2"/>
        <v>0</v>
      </c>
      <c r="R12" s="46">
        <f>Table710[[#This Row],[P. Unit (30%)]]*D12</f>
        <v>0</v>
      </c>
      <c r="T12">
        <f t="shared" si="0"/>
        <v>0</v>
      </c>
      <c r="X12">
        <f t="shared" si="3"/>
        <v>0</v>
      </c>
    </row>
    <row r="13" spans="1:24" ht="15.75" x14ac:dyDescent="0.25">
      <c r="A13" s="32">
        <v>5</v>
      </c>
      <c r="C13" s="47"/>
      <c r="D13" s="48"/>
      <c r="F13" s="49"/>
      <c r="G13" s="49"/>
      <c r="H13" s="49"/>
      <c r="I13" s="48"/>
      <c r="J13" s="50"/>
      <c r="K13" s="50"/>
      <c r="L13" s="50"/>
      <c r="M13" s="50"/>
      <c r="N13" s="50"/>
      <c r="O13">
        <f t="shared" si="1"/>
        <v>0</v>
      </c>
      <c r="Q13" s="54">
        <f t="shared" si="2"/>
        <v>0</v>
      </c>
      <c r="R13" s="46">
        <f>Table710[[#This Row],[P. Unit (30%)]]*D13</f>
        <v>0</v>
      </c>
      <c r="T13">
        <f t="shared" si="0"/>
        <v>0</v>
      </c>
      <c r="X13">
        <f t="shared" si="3"/>
        <v>0</v>
      </c>
    </row>
    <row r="14" spans="1:24" ht="15.75" x14ac:dyDescent="0.25">
      <c r="A14" s="32">
        <v>6</v>
      </c>
      <c r="C14" s="47"/>
      <c r="D14" s="48"/>
      <c r="F14" s="49"/>
      <c r="G14" s="49"/>
      <c r="H14" s="49"/>
      <c r="I14" s="48"/>
      <c r="J14" s="50"/>
      <c r="K14" s="50"/>
      <c r="L14" s="50"/>
      <c r="M14" s="50"/>
      <c r="N14" s="50"/>
      <c r="O14">
        <f t="shared" si="1"/>
        <v>0</v>
      </c>
      <c r="Q14" s="54">
        <f t="shared" si="2"/>
        <v>0</v>
      </c>
      <c r="R14" s="46">
        <f>Table710[[#This Row],[P. Unit (30%)]]*D14</f>
        <v>0</v>
      </c>
      <c r="T14">
        <f t="shared" si="0"/>
        <v>0</v>
      </c>
      <c r="X14">
        <f t="shared" si="3"/>
        <v>0</v>
      </c>
    </row>
    <row r="15" spans="1:24" ht="15.75" x14ac:dyDescent="0.25">
      <c r="A15" s="32">
        <v>7</v>
      </c>
      <c r="C15" s="47"/>
      <c r="D15" s="48"/>
      <c r="F15" s="49"/>
      <c r="G15" s="49"/>
      <c r="H15" s="49"/>
      <c r="I15" s="48"/>
      <c r="J15" s="50"/>
      <c r="K15" s="50"/>
      <c r="L15" s="50"/>
      <c r="M15" s="50"/>
      <c r="N15" s="50"/>
      <c r="O15">
        <f t="shared" si="1"/>
        <v>0</v>
      </c>
      <c r="Q15" s="54">
        <f t="shared" si="2"/>
        <v>0</v>
      </c>
      <c r="R15" s="46">
        <f>Table710[[#This Row],[P. Unit (30%)]]*D15</f>
        <v>0</v>
      </c>
      <c r="T15">
        <f t="shared" si="0"/>
        <v>0</v>
      </c>
      <c r="X15">
        <f t="shared" si="3"/>
        <v>0</v>
      </c>
    </row>
    <row r="16" spans="1:24" ht="15.75" x14ac:dyDescent="0.25">
      <c r="A16" s="32">
        <v>8</v>
      </c>
      <c r="C16" s="47"/>
      <c r="D16" s="48"/>
      <c r="F16" s="49"/>
      <c r="G16" s="49"/>
      <c r="H16" s="49"/>
      <c r="I16" s="48"/>
      <c r="J16" s="50"/>
      <c r="K16" s="50"/>
      <c r="L16" s="50"/>
      <c r="M16" s="50"/>
      <c r="N16" s="50"/>
      <c r="O16">
        <f t="shared" si="1"/>
        <v>0</v>
      </c>
      <c r="Q16" s="54">
        <f t="shared" si="2"/>
        <v>0</v>
      </c>
      <c r="R16" s="46">
        <f>Table710[[#This Row],[P. Unit (30%)]]*D16</f>
        <v>0</v>
      </c>
      <c r="T16">
        <f t="shared" si="0"/>
        <v>0</v>
      </c>
      <c r="X16">
        <f t="shared" si="3"/>
        <v>0</v>
      </c>
    </row>
    <row r="17" spans="1:24" ht="15.75" x14ac:dyDescent="0.25">
      <c r="A17" s="32">
        <v>9</v>
      </c>
      <c r="C17" s="47"/>
      <c r="D17" s="48"/>
      <c r="F17" s="49"/>
      <c r="G17" s="49"/>
      <c r="H17" s="49"/>
      <c r="I17" s="48"/>
      <c r="J17" s="50"/>
      <c r="K17" s="50"/>
      <c r="L17" s="50"/>
      <c r="M17" s="50"/>
      <c r="N17" s="50"/>
      <c r="O17">
        <f t="shared" si="1"/>
        <v>0</v>
      </c>
      <c r="Q17" s="54">
        <f t="shared" si="2"/>
        <v>0</v>
      </c>
      <c r="R17" s="46">
        <f>Table710[[#This Row],[P. Unit (30%)]]*D17</f>
        <v>0</v>
      </c>
      <c r="T17">
        <f t="shared" si="0"/>
        <v>0</v>
      </c>
      <c r="X17">
        <f t="shared" si="3"/>
        <v>0</v>
      </c>
    </row>
    <row r="18" spans="1:24" ht="15.75" x14ac:dyDescent="0.25">
      <c r="A18" s="32">
        <v>10</v>
      </c>
      <c r="C18" s="47"/>
      <c r="D18" s="48"/>
      <c r="F18" s="49"/>
      <c r="G18" s="49"/>
      <c r="H18" s="49"/>
      <c r="I18" s="48"/>
      <c r="J18" s="50"/>
      <c r="K18" s="50"/>
      <c r="L18" s="50"/>
      <c r="M18" s="50"/>
      <c r="N18" s="50"/>
      <c r="O18">
        <f t="shared" si="1"/>
        <v>0</v>
      </c>
      <c r="Q18" s="54">
        <f t="shared" si="2"/>
        <v>0</v>
      </c>
      <c r="R18" s="46">
        <f>Table710[[#This Row],[P. Unit (30%)]]*D18</f>
        <v>0</v>
      </c>
      <c r="T18">
        <f t="shared" si="0"/>
        <v>0</v>
      </c>
      <c r="X18">
        <f t="shared" si="3"/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1F979-07D3-4D18-8B13-AA470E10F410}">
  <dimension ref="A1"/>
  <sheetViews>
    <sheetView topLeftCell="A7" workbookViewId="0">
      <selection activeCell="D19" sqref="D19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BC8DA-580A-492E-AC6A-F858A6B38AEC}">
  <dimension ref="B5:I87"/>
  <sheetViews>
    <sheetView workbookViewId="0">
      <selection activeCell="G19" sqref="G19"/>
    </sheetView>
  </sheetViews>
  <sheetFormatPr defaultColWidth="9.140625" defaultRowHeight="15" x14ac:dyDescent="0.25"/>
  <cols>
    <col min="2" max="2" width="30.140625" bestFit="1" customWidth="1"/>
    <col min="3" max="3" width="18" customWidth="1"/>
    <col min="4" max="4" width="18.7109375" customWidth="1"/>
    <col min="5" max="5" width="36" customWidth="1"/>
    <col min="6" max="6" width="16.140625" bestFit="1" customWidth="1"/>
    <col min="9" max="9" width="18.42578125" bestFit="1" customWidth="1"/>
    <col min="10" max="10" width="23.42578125" customWidth="1"/>
  </cols>
  <sheetData>
    <row r="5" spans="2:5" x14ac:dyDescent="0.25">
      <c r="B5" s="3"/>
    </row>
    <row r="6" spans="2:5" x14ac:dyDescent="0.25">
      <c r="B6" s="3" t="s">
        <v>89</v>
      </c>
      <c r="C6" t="s">
        <v>5</v>
      </c>
      <c r="D6" t="s">
        <v>4</v>
      </c>
      <c r="E6" t="s">
        <v>90</v>
      </c>
    </row>
    <row r="7" spans="2:5" x14ac:dyDescent="0.25">
      <c r="C7">
        <v>0</v>
      </c>
      <c r="D7">
        <v>0</v>
      </c>
      <c r="E7">
        <f>Table22[[#This Row],[Cantidad]]*Table22[[#This Row],[Precio Unitario]]</f>
        <v>0</v>
      </c>
    </row>
    <row r="8" spans="2:5" x14ac:dyDescent="0.25">
      <c r="C8">
        <v>0</v>
      </c>
      <c r="D8">
        <v>0</v>
      </c>
      <c r="E8">
        <f>Table22[[#This Row],[Cantidad]]*Table22[[#This Row],[Precio Unitario]]</f>
        <v>0</v>
      </c>
    </row>
    <row r="9" spans="2:5" x14ac:dyDescent="0.25">
      <c r="C9">
        <v>0</v>
      </c>
      <c r="D9">
        <v>0</v>
      </c>
      <c r="E9">
        <f>Table22[[#This Row],[Cantidad]]*Table22[[#This Row],[Precio Unitario]]</f>
        <v>0</v>
      </c>
    </row>
    <row r="10" spans="2:5" x14ac:dyDescent="0.25">
      <c r="C10">
        <v>0</v>
      </c>
      <c r="D10">
        <v>0</v>
      </c>
      <c r="E10">
        <f>Table22[[#This Row],[Cantidad]]*Table22[[#This Row],[Precio Unitario]]</f>
        <v>0</v>
      </c>
    </row>
    <row r="11" spans="2:5" x14ac:dyDescent="0.25">
      <c r="C11">
        <v>0</v>
      </c>
      <c r="D11">
        <v>0</v>
      </c>
      <c r="E11">
        <f>Table22[[#This Row],[Cantidad]]*Table22[[#This Row],[Precio Unitario]]</f>
        <v>0</v>
      </c>
    </row>
    <row r="12" spans="2:5" x14ac:dyDescent="0.25">
      <c r="C12">
        <v>0</v>
      </c>
      <c r="D12">
        <v>0</v>
      </c>
      <c r="E12">
        <f>Table22[[#This Row],[Cantidad]]*Table22[[#This Row],[Precio Unitario]]</f>
        <v>0</v>
      </c>
    </row>
    <row r="13" spans="2:5" x14ac:dyDescent="0.25">
      <c r="C13">
        <v>0</v>
      </c>
      <c r="D13">
        <v>0</v>
      </c>
      <c r="E13">
        <f>Table22[[#This Row],[Cantidad]]*Table22[[#This Row],[Precio Unitario]]</f>
        <v>0</v>
      </c>
    </row>
    <row r="14" spans="2:5" x14ac:dyDescent="0.25">
      <c r="C14">
        <v>0</v>
      </c>
      <c r="D14">
        <v>0</v>
      </c>
      <c r="E14">
        <f>Table22[[#This Row],[Cantidad]]*Table22[[#This Row],[Precio Unitario]]</f>
        <v>0</v>
      </c>
    </row>
    <row r="15" spans="2:5" x14ac:dyDescent="0.25">
      <c r="C15">
        <v>0</v>
      </c>
      <c r="D15">
        <v>0</v>
      </c>
      <c r="E15">
        <f>Table22[[#This Row],[Cantidad]]*Table22[[#This Row],[Precio Unitario]]</f>
        <v>0</v>
      </c>
    </row>
    <row r="16" spans="2:5" x14ac:dyDescent="0.25">
      <c r="C16">
        <v>0</v>
      </c>
      <c r="D16">
        <v>0</v>
      </c>
      <c r="E16">
        <f>Table22[[#This Row],[Cantidad]]*Table22[[#This Row],[Precio Unitario]]</f>
        <v>0</v>
      </c>
    </row>
    <row r="17" spans="2:5" x14ac:dyDescent="0.25">
      <c r="C17">
        <v>0</v>
      </c>
      <c r="D17">
        <v>0</v>
      </c>
      <c r="E17">
        <f>Table22[[#This Row],[Cantidad]]*Table22[[#This Row],[Precio Unitario]]</f>
        <v>0</v>
      </c>
    </row>
    <row r="18" spans="2:5" x14ac:dyDescent="0.25">
      <c r="C18">
        <v>0</v>
      </c>
      <c r="D18">
        <v>0</v>
      </c>
      <c r="E18">
        <f>Table22[[#This Row],[Cantidad]]*Table22[[#This Row],[Precio Unitario]]</f>
        <v>0</v>
      </c>
    </row>
    <row r="19" spans="2:5" x14ac:dyDescent="0.25">
      <c r="C19">
        <v>0</v>
      </c>
      <c r="D19">
        <v>0</v>
      </c>
      <c r="E19">
        <f>Table22[[#This Row],[Cantidad]]*Table22[[#This Row],[Precio Unitario]]</f>
        <v>0</v>
      </c>
    </row>
    <row r="20" spans="2:5" x14ac:dyDescent="0.25">
      <c r="D20" s="22" t="s">
        <v>90</v>
      </c>
      <c r="E20" s="22">
        <f>SUM(E7:E19)</f>
        <v>0</v>
      </c>
    </row>
    <row r="21" spans="2:5" x14ac:dyDescent="0.25">
      <c r="E21">
        <f>Table22[[#Totals],[Total]]*1.3</f>
        <v>0</v>
      </c>
    </row>
    <row r="24" spans="2:5" x14ac:dyDescent="0.25">
      <c r="B24" t="s">
        <v>92</v>
      </c>
      <c r="C24" t="s">
        <v>5</v>
      </c>
      <c r="D24" t="s">
        <v>4</v>
      </c>
      <c r="E24" t="s">
        <v>90</v>
      </c>
    </row>
    <row r="25" spans="2:5" x14ac:dyDescent="0.25">
      <c r="B25">
        <v>0</v>
      </c>
      <c r="C25">
        <v>0</v>
      </c>
      <c r="D25">
        <v>0</v>
      </c>
      <c r="E25">
        <f>Table37[[#This Row],[Cantidad]]*Table37[[#This Row],[Precio Unitario]]</f>
        <v>0</v>
      </c>
    </row>
    <row r="26" spans="2:5" x14ac:dyDescent="0.25">
      <c r="B26">
        <v>0</v>
      </c>
      <c r="C26">
        <v>0</v>
      </c>
      <c r="D26">
        <v>0</v>
      </c>
      <c r="E26">
        <f>Table37[[#This Row],[Cantidad]]*Table37[[#This Row],[Precio Unitario]]</f>
        <v>0</v>
      </c>
    </row>
    <row r="27" spans="2:5" x14ac:dyDescent="0.25">
      <c r="B27">
        <v>0</v>
      </c>
      <c r="C27">
        <v>0</v>
      </c>
      <c r="D27">
        <v>0</v>
      </c>
      <c r="E27">
        <f>Table37[[#This Row],[Cantidad]]*Table37[[#This Row],[Precio Unitario]]</f>
        <v>0</v>
      </c>
    </row>
    <row r="28" spans="2:5" x14ac:dyDescent="0.25">
      <c r="B28">
        <v>0</v>
      </c>
      <c r="C28">
        <v>0</v>
      </c>
      <c r="D28">
        <v>0</v>
      </c>
      <c r="E28">
        <f>Table37[[#This Row],[Cantidad]]*Table37[[#This Row],[Precio Unitario]]</f>
        <v>0</v>
      </c>
    </row>
    <row r="29" spans="2:5" x14ac:dyDescent="0.25">
      <c r="B29">
        <v>0</v>
      </c>
      <c r="C29">
        <v>0</v>
      </c>
      <c r="D29">
        <v>0</v>
      </c>
      <c r="E29">
        <f>Table37[[#This Row],[Cantidad]]*Table37[[#This Row],[Precio Unitario]]</f>
        <v>0</v>
      </c>
    </row>
    <row r="30" spans="2:5" x14ac:dyDescent="0.25">
      <c r="B30">
        <v>0</v>
      </c>
      <c r="C30">
        <v>0</v>
      </c>
      <c r="D30">
        <v>0</v>
      </c>
      <c r="E30">
        <f>Table37[[#This Row],[Cantidad]]*Table37[[#This Row],[Precio Unitario]]</f>
        <v>0</v>
      </c>
    </row>
    <row r="31" spans="2:5" x14ac:dyDescent="0.25">
      <c r="B31">
        <v>0</v>
      </c>
      <c r="C31">
        <v>0</v>
      </c>
      <c r="D31">
        <v>0</v>
      </c>
      <c r="E31">
        <f>Table37[[#This Row],[Cantidad]]*Table37[[#This Row],[Precio Unitario]]</f>
        <v>0</v>
      </c>
    </row>
    <row r="32" spans="2:5" x14ac:dyDescent="0.25">
      <c r="B32">
        <v>0</v>
      </c>
      <c r="C32">
        <v>0</v>
      </c>
      <c r="D32">
        <v>0</v>
      </c>
      <c r="E32">
        <f>Table37[[#This Row],[Cantidad]]*Table37[[#This Row],[Precio Unitario]]</f>
        <v>0</v>
      </c>
    </row>
    <row r="33" spans="2:5" x14ac:dyDescent="0.25">
      <c r="D33" s="22" t="s">
        <v>90</v>
      </c>
      <c r="E33" s="22">
        <f>SUBTOTAL(109,Table37[Total])</f>
        <v>0</v>
      </c>
    </row>
    <row r="37" spans="2:5" x14ac:dyDescent="0.25">
      <c r="B37" t="s">
        <v>93</v>
      </c>
      <c r="C37" t="s">
        <v>5</v>
      </c>
      <c r="D37" t="s">
        <v>4</v>
      </c>
      <c r="E37" t="s">
        <v>90</v>
      </c>
    </row>
    <row r="38" spans="2:5" x14ac:dyDescent="0.25">
      <c r="B38">
        <v>0</v>
      </c>
      <c r="C38">
        <v>0</v>
      </c>
      <c r="D38">
        <v>0</v>
      </c>
      <c r="E38">
        <f>Table410[[#This Row],[Cantidad]]*Table410[[#This Row],[Precio Unitario]]</f>
        <v>0</v>
      </c>
    </row>
    <row r="39" spans="2:5" x14ac:dyDescent="0.25">
      <c r="B39">
        <v>0</v>
      </c>
      <c r="C39">
        <v>0</v>
      </c>
      <c r="D39">
        <v>0</v>
      </c>
      <c r="E39">
        <f>Table410[[#This Row],[Cantidad]]*Table410[[#This Row],[Precio Unitario]]</f>
        <v>0</v>
      </c>
    </row>
    <row r="40" spans="2:5" x14ac:dyDescent="0.25">
      <c r="B40">
        <v>0</v>
      </c>
      <c r="C40">
        <v>0</v>
      </c>
      <c r="D40">
        <v>0</v>
      </c>
      <c r="E40">
        <f>Table410[[#This Row],[Cantidad]]*Table410[[#This Row],[Precio Unitario]]</f>
        <v>0</v>
      </c>
    </row>
    <row r="41" spans="2:5" x14ac:dyDescent="0.25">
      <c r="B41">
        <v>0</v>
      </c>
      <c r="C41">
        <v>0</v>
      </c>
      <c r="D41">
        <v>0</v>
      </c>
      <c r="E41">
        <f>Table410[[#This Row],[Cantidad]]*Table410[[#This Row],[Precio Unitario]]</f>
        <v>0</v>
      </c>
    </row>
    <row r="42" spans="2:5" x14ac:dyDescent="0.25">
      <c r="B42">
        <v>0</v>
      </c>
      <c r="C42">
        <v>0</v>
      </c>
      <c r="D42">
        <v>0</v>
      </c>
      <c r="E42">
        <f>Table410[[#This Row],[Cantidad]]*Table410[[#This Row],[Precio Unitario]]</f>
        <v>0</v>
      </c>
    </row>
    <row r="43" spans="2:5" x14ac:dyDescent="0.25">
      <c r="B43">
        <v>0</v>
      </c>
      <c r="C43">
        <v>0</v>
      </c>
      <c r="D43">
        <v>0</v>
      </c>
      <c r="E43">
        <f>Table410[[#This Row],[Cantidad]]*Table410[[#This Row],[Precio Unitario]]</f>
        <v>0</v>
      </c>
    </row>
    <row r="44" spans="2:5" x14ac:dyDescent="0.25">
      <c r="B44">
        <v>0</v>
      </c>
      <c r="C44">
        <v>0</v>
      </c>
      <c r="D44">
        <v>0</v>
      </c>
      <c r="E44">
        <f>Table410[[#This Row],[Cantidad]]*Table410[[#This Row],[Precio Unitario]]</f>
        <v>0</v>
      </c>
    </row>
    <row r="45" spans="2:5" x14ac:dyDescent="0.25">
      <c r="B45">
        <v>0</v>
      </c>
      <c r="D45" s="22" t="s">
        <v>90</v>
      </c>
      <c r="E45" s="22">
        <f>SUBTOTAL(109,Table410[Total])</f>
        <v>0</v>
      </c>
    </row>
    <row r="51" spans="2:5" x14ac:dyDescent="0.25">
      <c r="B51" t="s">
        <v>94</v>
      </c>
      <c r="C51" t="s">
        <v>95</v>
      </c>
      <c r="D51" t="s">
        <v>96</v>
      </c>
      <c r="E51" t="s">
        <v>90</v>
      </c>
    </row>
    <row r="52" spans="2:5" x14ac:dyDescent="0.25">
      <c r="B52" t="s">
        <v>97</v>
      </c>
      <c r="C52">
        <v>0</v>
      </c>
      <c r="D52">
        <v>0</v>
      </c>
      <c r="E52">
        <f>Table511[[#This Row],[Costo Hr]]*Table511[[#This Row],[Qty Hrs]]</f>
        <v>0</v>
      </c>
    </row>
    <row r="53" spans="2:5" x14ac:dyDescent="0.25">
      <c r="B53" t="s">
        <v>91</v>
      </c>
      <c r="C53">
        <v>0</v>
      </c>
      <c r="D53">
        <v>0</v>
      </c>
      <c r="E53">
        <f>Table511[[#This Row],[Costo Hr]]*Table511[[#This Row],[Qty Hrs]]</f>
        <v>0</v>
      </c>
    </row>
    <row r="54" spans="2:5" x14ac:dyDescent="0.25">
      <c r="B54" t="s">
        <v>98</v>
      </c>
      <c r="C54">
        <v>0</v>
      </c>
      <c r="D54">
        <v>0</v>
      </c>
      <c r="E54">
        <f>Table511[[#This Row],[Costo Hr]]*Table511[[#This Row],[Qty Hrs]]</f>
        <v>0</v>
      </c>
    </row>
    <row r="55" spans="2:5" x14ac:dyDescent="0.25">
      <c r="B55" t="s">
        <v>99</v>
      </c>
      <c r="C55">
        <v>0</v>
      </c>
      <c r="D55">
        <v>0</v>
      </c>
      <c r="E55">
        <f>Table511[[#This Row],[Costo Hr]]*Table511[[#This Row],[Qty Hrs]]</f>
        <v>0</v>
      </c>
    </row>
    <row r="56" spans="2:5" x14ac:dyDescent="0.25">
      <c r="E56">
        <f>Table511[[#This Row],[Costo Hr]]*Table511[[#This Row],[Qty Hrs]]</f>
        <v>0</v>
      </c>
    </row>
    <row r="57" spans="2:5" x14ac:dyDescent="0.25">
      <c r="D57" s="23" t="s">
        <v>90</v>
      </c>
      <c r="E57" s="23">
        <f>SUBTOTAL(109,E52:E56)</f>
        <v>0</v>
      </c>
    </row>
    <row r="61" spans="2:5" x14ac:dyDescent="0.25">
      <c r="E61" s="24">
        <f>E57+E45+Table37[[#Totals],[Total]]+Table22[[#Totals],[Total]]</f>
        <v>0</v>
      </c>
    </row>
    <row r="74" spans="4:9" x14ac:dyDescent="0.25">
      <c r="D74" t="s">
        <v>100</v>
      </c>
      <c r="E74" t="s">
        <v>101</v>
      </c>
      <c r="I74">
        <f>E21+Table37[[#Totals],[Total]]+E45+Table511[[#Totals],[Total]]</f>
        <v>0</v>
      </c>
    </row>
    <row r="75" spans="4:9" x14ac:dyDescent="0.25">
      <c r="D75" t="s">
        <v>89</v>
      </c>
      <c r="E75">
        <f>Table22[[#Totals],[Total]]</f>
        <v>0</v>
      </c>
    </row>
    <row r="76" spans="4:9" x14ac:dyDescent="0.25">
      <c r="D76" t="s">
        <v>92</v>
      </c>
      <c r="E76">
        <f>Table37[[#Totals],[Total]]</f>
        <v>0</v>
      </c>
    </row>
    <row r="77" spans="4:9" x14ac:dyDescent="0.25">
      <c r="D77" t="s">
        <v>102</v>
      </c>
      <c r="E77">
        <f>E45</f>
        <v>0</v>
      </c>
    </row>
    <row r="78" spans="4:9" x14ac:dyDescent="0.25">
      <c r="D78" t="s">
        <v>103</v>
      </c>
      <c r="E78">
        <f>E57</f>
        <v>0</v>
      </c>
    </row>
    <row r="80" spans="4:9" x14ac:dyDescent="0.25">
      <c r="D80" t="s">
        <v>90</v>
      </c>
      <c r="E80" s="25" t="s">
        <v>101</v>
      </c>
    </row>
    <row r="81" spans="4:5" x14ac:dyDescent="0.25">
      <c r="D81" t="s">
        <v>90</v>
      </c>
      <c r="E81" s="25">
        <f>E75+E76+E77+E78</f>
        <v>0</v>
      </c>
    </row>
    <row r="82" spans="4:5" x14ac:dyDescent="0.25">
      <c r="D82" s="26" t="s">
        <v>107</v>
      </c>
      <c r="E82" s="25">
        <f>E81*0.3</f>
        <v>0</v>
      </c>
    </row>
    <row r="83" spans="4:5" x14ac:dyDescent="0.25">
      <c r="D83" s="27" t="s">
        <v>104</v>
      </c>
      <c r="E83" s="28">
        <f>SUM(E81:E82)</f>
        <v>0</v>
      </c>
    </row>
    <row r="86" spans="4:5" ht="15.75" thickBot="1" x14ac:dyDescent="0.3">
      <c r="D86" s="29" t="s">
        <v>105</v>
      </c>
      <c r="E86" s="29">
        <v>20</v>
      </c>
    </row>
    <row r="87" spans="4:5" ht="15.75" thickBot="1" x14ac:dyDescent="0.3">
      <c r="D87" s="30" t="s">
        <v>106</v>
      </c>
      <c r="E87" s="31">
        <f>E83*E86</f>
        <v>0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E2626-0985-4F03-80B0-9AD61B674DDB}">
  <dimension ref="A1:X18"/>
  <sheetViews>
    <sheetView workbookViewId="0">
      <selection activeCell="A17" sqref="A17:XFD17"/>
    </sheetView>
  </sheetViews>
  <sheetFormatPr defaultColWidth="9.140625" defaultRowHeight="15" x14ac:dyDescent="0.25"/>
  <cols>
    <col min="3" max="3" width="11.42578125" customWidth="1"/>
    <col min="4" max="4" width="11" customWidth="1"/>
    <col min="5" max="5" width="10.7109375" customWidth="1"/>
    <col min="6" max="6" width="22.7109375" customWidth="1"/>
    <col min="7" max="8" width="11" customWidth="1"/>
    <col min="9" max="9" width="16.140625" customWidth="1"/>
    <col min="10" max="10" width="15.28515625" customWidth="1"/>
    <col min="12" max="12" width="15.140625" customWidth="1"/>
    <col min="14" max="14" width="14" customWidth="1"/>
    <col min="15" max="15" width="14.7109375" bestFit="1" customWidth="1"/>
    <col min="17" max="18" width="15.7109375" customWidth="1"/>
    <col min="19" max="19" width="11" customWidth="1"/>
    <col min="20" max="20" width="18.42578125" customWidth="1"/>
    <col min="21" max="21" width="11" customWidth="1"/>
  </cols>
  <sheetData>
    <row r="1" spans="1:24" ht="15.75" x14ac:dyDescent="0.25">
      <c r="A1" s="32"/>
      <c r="B1" s="32"/>
      <c r="C1" s="33"/>
      <c r="D1" s="34"/>
      <c r="E1" s="32"/>
      <c r="F1" s="32"/>
      <c r="G1" s="32"/>
      <c r="H1" s="32"/>
      <c r="I1" s="32" t="s">
        <v>108</v>
      </c>
      <c r="J1" s="32">
        <v>35</v>
      </c>
      <c r="K1" s="32"/>
      <c r="L1" s="32"/>
      <c r="M1" s="32"/>
      <c r="N1" s="32"/>
      <c r="O1" s="32"/>
      <c r="P1" s="32"/>
      <c r="Q1" s="35"/>
      <c r="R1" s="35"/>
      <c r="S1" s="32"/>
      <c r="T1" s="32"/>
      <c r="U1" s="32"/>
      <c r="V1" s="32"/>
      <c r="W1" s="32"/>
      <c r="X1" s="32"/>
    </row>
    <row r="2" spans="1:24" ht="15.75" x14ac:dyDescent="0.25">
      <c r="A2" s="32"/>
      <c r="B2" s="32"/>
      <c r="C2" s="33"/>
      <c r="D2" s="34"/>
      <c r="E2" s="32"/>
      <c r="F2" s="32"/>
      <c r="G2" s="32"/>
      <c r="H2" s="32"/>
      <c r="I2" s="32" t="s">
        <v>109</v>
      </c>
      <c r="J2" s="32">
        <v>45</v>
      </c>
      <c r="K2" s="32"/>
      <c r="L2" s="32"/>
      <c r="M2" s="32"/>
      <c r="N2" s="32" t="s">
        <v>110</v>
      </c>
      <c r="O2" s="32">
        <v>20</v>
      </c>
      <c r="P2" s="32"/>
      <c r="Q2" s="35"/>
      <c r="R2" s="35"/>
      <c r="S2" s="32"/>
      <c r="T2" s="32"/>
      <c r="U2" s="32"/>
      <c r="V2" s="32"/>
      <c r="W2" s="32"/>
      <c r="X2" s="32"/>
    </row>
    <row r="3" spans="1:24" ht="15.75" x14ac:dyDescent="0.25">
      <c r="A3" s="32"/>
      <c r="B3" s="32"/>
      <c r="C3" s="32"/>
      <c r="D3" s="34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5"/>
      <c r="R3" s="35"/>
      <c r="S3" s="32"/>
      <c r="T3" s="32"/>
      <c r="U3" s="32"/>
      <c r="V3" s="32"/>
      <c r="W3" s="32"/>
      <c r="X3" s="32"/>
    </row>
    <row r="4" spans="1:24" ht="15.75" x14ac:dyDescent="0.25">
      <c r="A4" s="32"/>
      <c r="B4" s="32"/>
      <c r="C4" s="33"/>
      <c r="D4" s="34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5"/>
      <c r="R4" s="35"/>
      <c r="S4" s="32"/>
      <c r="T4" s="32"/>
      <c r="U4" s="32"/>
      <c r="V4" s="32"/>
      <c r="W4" s="32"/>
      <c r="X4" s="32"/>
    </row>
    <row r="5" spans="1:24" ht="15.75" x14ac:dyDescent="0.25">
      <c r="A5" s="32"/>
      <c r="B5" s="32"/>
      <c r="C5" s="32"/>
      <c r="D5" s="34"/>
      <c r="E5" s="32"/>
      <c r="F5" s="36" t="s">
        <v>111</v>
      </c>
      <c r="G5" s="36" t="s">
        <v>112</v>
      </c>
      <c r="H5" s="36" t="s">
        <v>113</v>
      </c>
      <c r="I5" s="32"/>
      <c r="J5" s="32"/>
      <c r="K5" s="32"/>
      <c r="L5" s="32"/>
      <c r="M5" s="32"/>
      <c r="N5" s="32"/>
      <c r="O5" s="32"/>
      <c r="P5" s="32"/>
      <c r="Q5" s="35"/>
      <c r="R5" s="35"/>
      <c r="S5" s="32"/>
      <c r="T5" s="32"/>
      <c r="U5" s="32"/>
      <c r="V5" s="32"/>
      <c r="W5" s="32"/>
      <c r="X5" s="32"/>
    </row>
    <row r="6" spans="1:24" ht="15.75" x14ac:dyDescent="0.25">
      <c r="A6" s="32" t="s">
        <v>114</v>
      </c>
      <c r="B6" s="37" t="s">
        <v>115</v>
      </c>
      <c r="C6" s="38" t="s">
        <v>116</v>
      </c>
      <c r="D6" s="39" t="s">
        <v>5</v>
      </c>
      <c r="E6" s="37" t="s">
        <v>117</v>
      </c>
      <c r="F6" s="40" t="s">
        <v>118</v>
      </c>
      <c r="G6" s="40" t="s">
        <v>129</v>
      </c>
      <c r="H6" s="40" t="s">
        <v>130</v>
      </c>
      <c r="I6" s="37" t="s">
        <v>119</v>
      </c>
      <c r="J6" s="37" t="s">
        <v>120</v>
      </c>
      <c r="K6" s="40" t="s">
        <v>121</v>
      </c>
      <c r="L6" s="40" t="s">
        <v>108</v>
      </c>
      <c r="M6" s="40" t="s">
        <v>122</v>
      </c>
      <c r="N6" s="37" t="s">
        <v>123</v>
      </c>
      <c r="O6" s="37" t="s">
        <v>131</v>
      </c>
      <c r="P6" s="37" t="s">
        <v>132</v>
      </c>
      <c r="Q6" s="53" t="s">
        <v>124</v>
      </c>
      <c r="R6" s="41" t="s">
        <v>90</v>
      </c>
      <c r="S6" s="37" t="s">
        <v>133</v>
      </c>
      <c r="T6" s="37" t="s">
        <v>125</v>
      </c>
      <c r="U6" s="37" t="s">
        <v>134</v>
      </c>
      <c r="V6" s="3"/>
      <c r="W6" s="3"/>
      <c r="X6" s="3"/>
    </row>
    <row r="7" spans="1:24" ht="15.75" x14ac:dyDescent="0.25">
      <c r="A7" s="32"/>
      <c r="B7" s="42" t="s">
        <v>126</v>
      </c>
      <c r="C7" s="43"/>
      <c r="D7" s="44"/>
      <c r="E7" s="3"/>
      <c r="F7" s="3"/>
      <c r="G7" s="3"/>
      <c r="H7" s="3"/>
      <c r="I7" s="44"/>
      <c r="J7" s="3"/>
      <c r="K7" s="3"/>
      <c r="L7" s="3"/>
      <c r="M7" s="3"/>
      <c r="N7" s="3"/>
      <c r="O7" s="3"/>
      <c r="P7" s="3"/>
      <c r="Q7" s="4"/>
      <c r="R7" s="4"/>
      <c r="S7" s="3"/>
      <c r="T7" s="3"/>
      <c r="U7" s="3"/>
      <c r="V7" s="3"/>
      <c r="W7" s="3"/>
      <c r="X7" s="3"/>
    </row>
    <row r="8" spans="1:24" ht="15.75" x14ac:dyDescent="0.25">
      <c r="A8" s="32"/>
      <c r="B8" s="3"/>
      <c r="C8" s="45"/>
      <c r="D8" s="44"/>
      <c r="E8" s="3"/>
      <c r="F8" s="3"/>
      <c r="G8" s="3"/>
      <c r="H8" s="3"/>
      <c r="I8" s="44"/>
      <c r="J8" s="3"/>
      <c r="K8" s="3"/>
      <c r="L8" s="3"/>
      <c r="M8" s="3"/>
      <c r="N8" s="3"/>
      <c r="O8">
        <f>I8+(J8*J$2)+(K8*J$2)+(L8*J$1)+(M8*J$2)+N8</f>
        <v>0</v>
      </c>
      <c r="Q8" s="54">
        <f>O8*1.3</f>
        <v>0</v>
      </c>
      <c r="R8" s="46">
        <f>Table7[[#This Row],[P. Unit (30%)]]*D8</f>
        <v>0</v>
      </c>
      <c r="S8" s="3"/>
      <c r="T8">
        <f>Q8*O$2</f>
        <v>0</v>
      </c>
      <c r="U8" s="3"/>
      <c r="V8" s="3"/>
      <c r="W8" s="3"/>
      <c r="X8" s="3"/>
    </row>
    <row r="9" spans="1:24" ht="15.75" x14ac:dyDescent="0.25">
      <c r="A9" s="32">
        <v>1</v>
      </c>
      <c r="C9" s="47"/>
      <c r="D9" s="48"/>
      <c r="F9" s="49"/>
      <c r="G9" s="49"/>
      <c r="H9" s="49"/>
      <c r="I9" s="48"/>
      <c r="O9">
        <f>I9+(J9*J$2)+(K9*J$2)+(L9*J$1)+(M9*J$2)+N9</f>
        <v>0</v>
      </c>
      <c r="Q9" s="54">
        <f>O9*1.3</f>
        <v>0</v>
      </c>
      <c r="R9" s="46">
        <f>Table7[[#This Row],[P. Unit (30%)]]*D9</f>
        <v>0</v>
      </c>
      <c r="T9">
        <f t="shared" ref="T9:T18" si="0">Q9*O$2</f>
        <v>0</v>
      </c>
      <c r="X9">
        <f>((F9^2)+(G9^2))^(1/2)</f>
        <v>0</v>
      </c>
    </row>
    <row r="10" spans="1:24" ht="15.75" x14ac:dyDescent="0.25">
      <c r="A10" s="32">
        <v>2</v>
      </c>
      <c r="C10" s="47"/>
      <c r="D10" s="48"/>
      <c r="F10" s="49"/>
      <c r="G10" s="49"/>
      <c r="H10" s="49"/>
      <c r="I10" s="48"/>
      <c r="O10">
        <f t="shared" ref="O10:O18" si="1">I10+(J10*J$2)+(K10*J$2)+(L10*J$1)+(M10*J$2)+N10</f>
        <v>0</v>
      </c>
      <c r="Q10" s="54">
        <f t="shared" ref="Q10:Q18" si="2">O10*1.3</f>
        <v>0</v>
      </c>
      <c r="R10" s="46">
        <f>Table7[[#This Row],[P. Unit (30%)]]*D10</f>
        <v>0</v>
      </c>
      <c r="T10">
        <f t="shared" si="0"/>
        <v>0</v>
      </c>
      <c r="X10">
        <f t="shared" ref="X10:X18" si="3">((F10^2)+(G10^2))^(1/2)</f>
        <v>0</v>
      </c>
    </row>
    <row r="11" spans="1:24" ht="15.75" x14ac:dyDescent="0.25">
      <c r="A11" s="32">
        <v>3</v>
      </c>
      <c r="C11" s="47"/>
      <c r="D11" s="48"/>
      <c r="F11" s="49"/>
      <c r="G11" s="49"/>
      <c r="H11" s="49"/>
      <c r="I11" s="48"/>
      <c r="J11" s="50"/>
      <c r="K11" s="50"/>
      <c r="L11" s="50"/>
      <c r="M11" s="50"/>
      <c r="O11">
        <f t="shared" si="1"/>
        <v>0</v>
      </c>
      <c r="Q11" s="54">
        <f t="shared" si="2"/>
        <v>0</v>
      </c>
      <c r="R11" s="46">
        <f>Table7[[#This Row],[P. Unit (30%)]]*D11</f>
        <v>0</v>
      </c>
      <c r="T11">
        <f t="shared" si="0"/>
        <v>0</v>
      </c>
      <c r="X11">
        <f t="shared" si="3"/>
        <v>0</v>
      </c>
    </row>
    <row r="12" spans="1:24" ht="15.75" x14ac:dyDescent="0.25">
      <c r="A12" s="32">
        <v>4</v>
      </c>
      <c r="C12" s="47"/>
      <c r="D12" s="48"/>
      <c r="F12" s="49"/>
      <c r="G12" s="49"/>
      <c r="H12" s="49"/>
      <c r="I12" s="48"/>
      <c r="J12" s="50"/>
      <c r="K12" s="50"/>
      <c r="L12" s="50"/>
      <c r="M12" s="50"/>
      <c r="N12" s="50"/>
      <c r="O12">
        <f t="shared" si="1"/>
        <v>0</v>
      </c>
      <c r="Q12" s="54">
        <f t="shared" si="2"/>
        <v>0</v>
      </c>
      <c r="R12" s="46">
        <f>Table7[[#This Row],[P. Unit (30%)]]*D12</f>
        <v>0</v>
      </c>
      <c r="T12">
        <f t="shared" si="0"/>
        <v>0</v>
      </c>
      <c r="X12">
        <f t="shared" si="3"/>
        <v>0</v>
      </c>
    </row>
    <row r="13" spans="1:24" ht="15.75" x14ac:dyDescent="0.25">
      <c r="A13" s="32">
        <v>5</v>
      </c>
      <c r="C13" s="47"/>
      <c r="D13" s="48"/>
      <c r="F13" s="49"/>
      <c r="G13" s="49"/>
      <c r="H13" s="49"/>
      <c r="I13" s="48"/>
      <c r="J13" s="50"/>
      <c r="K13" s="50"/>
      <c r="L13" s="50"/>
      <c r="M13" s="50"/>
      <c r="N13" s="50"/>
      <c r="O13">
        <f t="shared" si="1"/>
        <v>0</v>
      </c>
      <c r="Q13" s="54">
        <f t="shared" si="2"/>
        <v>0</v>
      </c>
      <c r="R13" s="46">
        <f>Table7[[#This Row],[P. Unit (30%)]]*D13</f>
        <v>0</v>
      </c>
      <c r="T13">
        <f t="shared" si="0"/>
        <v>0</v>
      </c>
      <c r="X13">
        <f t="shared" si="3"/>
        <v>0</v>
      </c>
    </row>
    <row r="14" spans="1:24" ht="15.75" x14ac:dyDescent="0.25">
      <c r="A14" s="32">
        <v>6</v>
      </c>
      <c r="C14" s="47"/>
      <c r="D14" s="48"/>
      <c r="F14" s="49"/>
      <c r="G14" s="49"/>
      <c r="H14" s="49"/>
      <c r="I14" s="48"/>
      <c r="J14" s="50"/>
      <c r="K14" s="50"/>
      <c r="L14" s="50"/>
      <c r="M14" s="50"/>
      <c r="N14" s="50"/>
      <c r="O14">
        <f t="shared" si="1"/>
        <v>0</v>
      </c>
      <c r="Q14" s="54">
        <f t="shared" si="2"/>
        <v>0</v>
      </c>
      <c r="R14" s="46">
        <f>Table7[[#This Row],[P. Unit (30%)]]*D14</f>
        <v>0</v>
      </c>
      <c r="T14">
        <f t="shared" si="0"/>
        <v>0</v>
      </c>
      <c r="X14">
        <f t="shared" si="3"/>
        <v>0</v>
      </c>
    </row>
    <row r="15" spans="1:24" ht="15.75" x14ac:dyDescent="0.25">
      <c r="A15" s="32">
        <v>7</v>
      </c>
      <c r="C15" s="47"/>
      <c r="D15" s="48"/>
      <c r="F15" s="49"/>
      <c r="G15" s="49"/>
      <c r="H15" s="49"/>
      <c r="I15" s="48"/>
      <c r="J15" s="50"/>
      <c r="K15" s="50"/>
      <c r="L15" s="50"/>
      <c r="M15" s="50"/>
      <c r="N15" s="50"/>
      <c r="O15">
        <f t="shared" si="1"/>
        <v>0</v>
      </c>
      <c r="Q15" s="54">
        <f t="shared" si="2"/>
        <v>0</v>
      </c>
      <c r="R15" s="46">
        <f>Table7[[#This Row],[P. Unit (30%)]]*D15</f>
        <v>0</v>
      </c>
      <c r="T15">
        <f t="shared" si="0"/>
        <v>0</v>
      </c>
      <c r="X15">
        <f t="shared" si="3"/>
        <v>0</v>
      </c>
    </row>
    <row r="16" spans="1:24" ht="15.75" x14ac:dyDescent="0.25">
      <c r="A16" s="32">
        <v>8</v>
      </c>
      <c r="C16" s="47"/>
      <c r="D16" s="48"/>
      <c r="F16" s="49"/>
      <c r="G16" s="49"/>
      <c r="H16" s="49"/>
      <c r="I16" s="48"/>
      <c r="J16" s="50"/>
      <c r="K16" s="50"/>
      <c r="L16" s="50"/>
      <c r="M16" s="50"/>
      <c r="N16" s="50"/>
      <c r="O16">
        <f t="shared" si="1"/>
        <v>0</v>
      </c>
      <c r="Q16" s="54">
        <f t="shared" si="2"/>
        <v>0</v>
      </c>
      <c r="R16" s="46">
        <f>Table7[[#This Row],[P. Unit (30%)]]*D16</f>
        <v>0</v>
      </c>
      <c r="T16">
        <f t="shared" si="0"/>
        <v>0</v>
      </c>
      <c r="X16">
        <f t="shared" si="3"/>
        <v>0</v>
      </c>
    </row>
    <row r="17" spans="1:24" ht="15.75" x14ac:dyDescent="0.25">
      <c r="A17" s="32">
        <v>9</v>
      </c>
      <c r="C17" s="47"/>
      <c r="D17" s="48"/>
      <c r="F17" s="49"/>
      <c r="G17" s="49"/>
      <c r="H17" s="49"/>
      <c r="I17" s="48"/>
      <c r="J17" s="50"/>
      <c r="K17" s="50"/>
      <c r="L17" s="50"/>
      <c r="M17" s="50"/>
      <c r="N17" s="50"/>
      <c r="O17">
        <f t="shared" si="1"/>
        <v>0</v>
      </c>
      <c r="Q17" s="54">
        <f t="shared" si="2"/>
        <v>0</v>
      </c>
      <c r="R17" s="46">
        <f>Table7[[#This Row],[P. Unit (30%)]]*D17</f>
        <v>0</v>
      </c>
      <c r="T17">
        <f t="shared" si="0"/>
        <v>0</v>
      </c>
      <c r="X17">
        <f t="shared" si="3"/>
        <v>0</v>
      </c>
    </row>
    <row r="18" spans="1:24" ht="15.75" x14ac:dyDescent="0.25">
      <c r="A18" s="32">
        <v>10</v>
      </c>
      <c r="C18" s="47"/>
      <c r="D18" s="48"/>
      <c r="F18" s="49"/>
      <c r="G18" s="49"/>
      <c r="H18" s="49"/>
      <c r="I18" s="48"/>
      <c r="J18" s="50"/>
      <c r="K18" s="50"/>
      <c r="L18" s="50"/>
      <c r="M18" s="50"/>
      <c r="N18" s="50"/>
      <c r="O18">
        <f t="shared" si="1"/>
        <v>0</v>
      </c>
      <c r="Q18" s="54">
        <f t="shared" si="2"/>
        <v>0</v>
      </c>
      <c r="R18" s="46">
        <f>Table7[[#This Row],[P. Unit (30%)]]*D18</f>
        <v>0</v>
      </c>
      <c r="T18">
        <f t="shared" si="0"/>
        <v>0</v>
      </c>
      <c r="X18">
        <f t="shared" si="3"/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0"/>
  <sheetViews>
    <sheetView workbookViewId="0">
      <selection activeCell="E18" sqref="E18"/>
    </sheetView>
  </sheetViews>
  <sheetFormatPr defaultColWidth="9.140625" defaultRowHeight="15" x14ac:dyDescent="0.25"/>
  <cols>
    <col min="1" max="1" width="19" bestFit="1" customWidth="1"/>
    <col min="3" max="3" width="17.5703125" customWidth="1"/>
    <col min="5" max="5" width="26.85546875" customWidth="1"/>
    <col min="6" max="6" width="46.28515625" customWidth="1"/>
  </cols>
  <sheetData>
    <row r="5" spans="1:6" x14ac:dyDescent="0.25">
      <c r="A5" t="s">
        <v>75</v>
      </c>
      <c r="C5" t="s">
        <v>66</v>
      </c>
      <c r="E5" t="s">
        <v>72</v>
      </c>
      <c r="F5" t="s">
        <v>76</v>
      </c>
    </row>
    <row r="6" spans="1:6" x14ac:dyDescent="0.25">
      <c r="C6" t="s">
        <v>67</v>
      </c>
      <c r="E6" t="s">
        <v>78</v>
      </c>
      <c r="F6" s="2" t="s">
        <v>84</v>
      </c>
    </row>
    <row r="7" spans="1:6" x14ac:dyDescent="0.25">
      <c r="A7" t="s">
        <v>74</v>
      </c>
      <c r="C7" t="s">
        <v>68</v>
      </c>
      <c r="E7" t="s">
        <v>77</v>
      </c>
      <c r="F7" s="2" t="s">
        <v>142</v>
      </c>
    </row>
    <row r="8" spans="1:6" x14ac:dyDescent="0.25">
      <c r="C8" t="s">
        <v>69</v>
      </c>
      <c r="F8" s="2" t="s">
        <v>143</v>
      </c>
    </row>
    <row r="9" spans="1:6" x14ac:dyDescent="0.25">
      <c r="C9" t="s">
        <v>71</v>
      </c>
    </row>
    <row r="10" spans="1:6" x14ac:dyDescent="0.25">
      <c r="C10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ColWidth="9.140625" defaultRowHeight="15" x14ac:dyDescent="0.25"/>
  <cols>
    <col min="3" max="3" width="57.85546875" customWidth="1"/>
    <col min="8" max="8" width="40.28515625" customWidth="1"/>
  </cols>
  <sheetData>
    <row r="6" spans="2:11" x14ac:dyDescent="0.25">
      <c r="B6" s="7"/>
      <c r="C6" s="8" t="s">
        <v>6</v>
      </c>
    </row>
    <row r="7" spans="2:11" x14ac:dyDescent="0.25">
      <c r="B7" s="7"/>
      <c r="C7" s="8" t="s">
        <v>7</v>
      </c>
    </row>
    <row r="8" spans="2:11" x14ac:dyDescent="0.25">
      <c r="B8" s="7"/>
      <c r="C8" s="8" t="s">
        <v>8</v>
      </c>
    </row>
    <row r="9" spans="2:11" ht="141" customHeight="1" x14ac:dyDescent="0.25">
      <c r="B9" s="7"/>
      <c r="C9" s="8" t="s">
        <v>9</v>
      </c>
      <c r="H9" s="18" t="s">
        <v>79</v>
      </c>
      <c r="K9" s="19" t="s">
        <v>80</v>
      </c>
    </row>
    <row r="10" spans="2:11" x14ac:dyDescent="0.25">
      <c r="B10" s="7"/>
      <c r="C10" s="9"/>
    </row>
    <row r="11" spans="2:11" x14ac:dyDescent="0.25">
      <c r="B11" s="7"/>
      <c r="C11" s="10" t="s">
        <v>10</v>
      </c>
    </row>
    <row r="12" spans="2:11" x14ac:dyDescent="0.25">
      <c r="B12" s="7"/>
      <c r="C12" s="10" t="s">
        <v>11</v>
      </c>
    </row>
    <row r="13" spans="2:11" x14ac:dyDescent="0.25">
      <c r="B13" s="7"/>
      <c r="C13" s="8" t="s">
        <v>12</v>
      </c>
    </row>
    <row r="14" spans="2:11" x14ac:dyDescent="0.25">
      <c r="B14" s="7"/>
      <c r="C14" s="9" t="s">
        <v>13</v>
      </c>
    </row>
    <row r="15" spans="2:11" x14ac:dyDescent="0.25">
      <c r="B15" s="7"/>
      <c r="C15" s="9" t="s">
        <v>14</v>
      </c>
    </row>
    <row r="16" spans="2:11" x14ac:dyDescent="0.25">
      <c r="B16" s="7"/>
      <c r="C16" s="8" t="s">
        <v>15</v>
      </c>
    </row>
    <row r="17" spans="2:3" x14ac:dyDescent="0.25">
      <c r="B17" s="7"/>
      <c r="C17" s="9"/>
    </row>
    <row r="18" spans="2:3" ht="30" x14ac:dyDescent="0.25">
      <c r="B18" s="7"/>
      <c r="C18" s="10" t="s">
        <v>16</v>
      </c>
    </row>
    <row r="19" spans="2:3" ht="30" x14ac:dyDescent="0.25">
      <c r="B19" s="7"/>
      <c r="C19" s="10" t="s">
        <v>17</v>
      </c>
    </row>
    <row r="20" spans="2:3" x14ac:dyDescent="0.25">
      <c r="B20" s="7"/>
      <c r="C20" s="9" t="s">
        <v>18</v>
      </c>
    </row>
    <row r="21" spans="2:3" x14ac:dyDescent="0.25">
      <c r="B21" s="7"/>
      <c r="C21" s="9"/>
    </row>
    <row r="22" spans="2:3" x14ac:dyDescent="0.25">
      <c r="B22" s="7"/>
      <c r="C22" s="10" t="s">
        <v>19</v>
      </c>
    </row>
    <row r="23" spans="2:3" ht="30" x14ac:dyDescent="0.25">
      <c r="B23" s="7"/>
      <c r="C23" s="9" t="s">
        <v>20</v>
      </c>
    </row>
    <row r="24" spans="2:3" x14ac:dyDescent="0.25">
      <c r="B24" s="7"/>
      <c r="C24" s="9"/>
    </row>
    <row r="25" spans="2:3" ht="30" x14ac:dyDescent="0.25">
      <c r="B25" s="7"/>
      <c r="C25" s="10" t="s">
        <v>21</v>
      </c>
    </row>
    <row r="26" spans="2:3" ht="30" x14ac:dyDescent="0.25">
      <c r="B26" s="7"/>
      <c r="C26" s="9" t="s">
        <v>22</v>
      </c>
    </row>
    <row r="27" spans="2:3" x14ac:dyDescent="0.25">
      <c r="B27" s="7"/>
      <c r="C27" s="9"/>
    </row>
    <row r="28" spans="2:3" ht="30" x14ac:dyDescent="0.25">
      <c r="B28" s="7"/>
      <c r="C28" s="10" t="s">
        <v>23</v>
      </c>
    </row>
    <row r="29" spans="2:3" x14ac:dyDescent="0.25">
      <c r="B29" s="7"/>
      <c r="C29" s="10" t="s">
        <v>24</v>
      </c>
    </row>
    <row r="30" spans="2:3" x14ac:dyDescent="0.25">
      <c r="B30" s="7"/>
      <c r="C30" s="8" t="s">
        <v>25</v>
      </c>
    </row>
    <row r="31" spans="2:3" x14ac:dyDescent="0.25">
      <c r="B31" s="7"/>
      <c r="C31" s="9" t="s">
        <v>26</v>
      </c>
    </row>
    <row r="32" spans="2:3" x14ac:dyDescent="0.25">
      <c r="B32" s="7"/>
      <c r="C32" s="9" t="s">
        <v>27</v>
      </c>
    </row>
    <row r="33" spans="2:3" x14ac:dyDescent="0.25">
      <c r="B33" s="7"/>
      <c r="C33" s="9" t="s">
        <v>28</v>
      </c>
    </row>
    <row r="34" spans="2:3" x14ac:dyDescent="0.25">
      <c r="B34" s="7"/>
      <c r="C34" s="9" t="s">
        <v>29</v>
      </c>
    </row>
    <row r="35" spans="2:3" x14ac:dyDescent="0.25">
      <c r="B35" s="7"/>
      <c r="C35" s="9" t="s">
        <v>30</v>
      </c>
    </row>
    <row r="36" spans="2:3" x14ac:dyDescent="0.25">
      <c r="B36" s="7"/>
      <c r="C36" s="9" t="s">
        <v>31</v>
      </c>
    </row>
    <row r="37" spans="2:3" x14ac:dyDescent="0.25">
      <c r="B37" s="7"/>
      <c r="C37" s="9" t="s">
        <v>32</v>
      </c>
    </row>
    <row r="38" spans="2:3" x14ac:dyDescent="0.25">
      <c r="B38" s="7"/>
      <c r="C38" s="9"/>
    </row>
    <row r="39" spans="2:3" x14ac:dyDescent="0.25">
      <c r="B39" s="7"/>
      <c r="C39" s="10" t="s">
        <v>33</v>
      </c>
    </row>
    <row r="40" spans="2:3" x14ac:dyDescent="0.25">
      <c r="B40" s="7"/>
      <c r="C40" s="8" t="s">
        <v>34</v>
      </c>
    </row>
    <row r="41" spans="2:3" x14ac:dyDescent="0.25">
      <c r="B41" s="7"/>
      <c r="C41" s="10" t="s">
        <v>35</v>
      </c>
    </row>
    <row r="42" spans="2:3" x14ac:dyDescent="0.25">
      <c r="B42" s="7"/>
      <c r="C42" s="8" t="s">
        <v>36</v>
      </c>
    </row>
    <row r="43" spans="2:3" x14ac:dyDescent="0.25">
      <c r="B43" s="7"/>
      <c r="C43" s="9"/>
    </row>
    <row r="44" spans="2:3" ht="30" x14ac:dyDescent="0.25">
      <c r="B44" s="7"/>
      <c r="C44" s="8" t="s">
        <v>37</v>
      </c>
    </row>
    <row r="45" spans="2:3" x14ac:dyDescent="0.25">
      <c r="B45" s="7"/>
      <c r="C45" s="10" t="s">
        <v>38</v>
      </c>
    </row>
    <row r="46" spans="2:3" x14ac:dyDescent="0.25">
      <c r="B46" s="7"/>
      <c r="C46" s="8" t="s">
        <v>39</v>
      </c>
    </row>
    <row r="47" spans="2:3" x14ac:dyDescent="0.25">
      <c r="B47" s="7"/>
      <c r="C47" s="8" t="s">
        <v>40</v>
      </c>
    </row>
    <row r="48" spans="2:3" ht="30" x14ac:dyDescent="0.25">
      <c r="B48" s="7"/>
      <c r="C48" s="9" t="s">
        <v>41</v>
      </c>
    </row>
    <row r="49" spans="2:3" ht="30" x14ac:dyDescent="0.25">
      <c r="B49" s="7"/>
      <c r="C49" s="9" t="s">
        <v>42</v>
      </c>
    </row>
    <row r="50" spans="2:3" ht="30" x14ac:dyDescent="0.25">
      <c r="B50" s="7"/>
      <c r="C50" s="9" t="s">
        <v>43</v>
      </c>
    </row>
    <row r="51" spans="2:3" ht="30" x14ac:dyDescent="0.25">
      <c r="B51" s="7"/>
      <c r="C51" s="9" t="s">
        <v>44</v>
      </c>
    </row>
    <row r="52" spans="2:3" ht="30" x14ac:dyDescent="0.25">
      <c r="B52" s="7"/>
      <c r="C52" s="9" t="s">
        <v>45</v>
      </c>
    </row>
    <row r="53" spans="2:3" ht="30" x14ac:dyDescent="0.25">
      <c r="B53" s="7"/>
      <c r="C53" s="9" t="s">
        <v>46</v>
      </c>
    </row>
    <row r="54" spans="2:3" x14ac:dyDescent="0.25">
      <c r="B54" s="7"/>
      <c r="C54" s="9" t="s">
        <v>47</v>
      </c>
    </row>
    <row r="55" spans="2:3" ht="30" x14ac:dyDescent="0.25">
      <c r="B55" s="7"/>
      <c r="C55" s="9" t="s">
        <v>48</v>
      </c>
    </row>
    <row r="56" spans="2:3" x14ac:dyDescent="0.25">
      <c r="B56" s="7"/>
      <c r="C56" s="9" t="s">
        <v>49</v>
      </c>
    </row>
    <row r="57" spans="2:3" x14ac:dyDescent="0.25">
      <c r="B57" s="7"/>
      <c r="C57" s="8" t="s">
        <v>15</v>
      </c>
    </row>
    <row r="58" spans="2:3" x14ac:dyDescent="0.25">
      <c r="B58" s="7"/>
      <c r="C58" s="8" t="s">
        <v>50</v>
      </c>
    </row>
    <row r="59" spans="2:3" x14ac:dyDescent="0.25">
      <c r="B59" s="7"/>
      <c r="C59" s="9"/>
    </row>
    <row r="60" spans="2:3" ht="30" x14ac:dyDescent="0.25">
      <c r="B60" s="7"/>
      <c r="C60" s="10" t="s">
        <v>51</v>
      </c>
    </row>
    <row r="61" spans="2:3" ht="30" x14ac:dyDescent="0.25">
      <c r="B61" s="7"/>
      <c r="C61" s="10" t="s">
        <v>52</v>
      </c>
    </row>
    <row r="62" spans="2:3" x14ac:dyDescent="0.25">
      <c r="B62" s="7"/>
      <c r="C62" s="9" t="s">
        <v>53</v>
      </c>
    </row>
    <row r="63" spans="2:3" x14ac:dyDescent="0.25">
      <c r="B63" s="7"/>
      <c r="C63" s="9"/>
    </row>
    <row r="64" spans="2:3" x14ac:dyDescent="0.25">
      <c r="B64" s="7"/>
      <c r="C64" s="10" t="s">
        <v>54</v>
      </c>
    </row>
    <row r="65" spans="2:3" x14ac:dyDescent="0.25">
      <c r="B65" s="7"/>
      <c r="C65" s="8" t="s">
        <v>55</v>
      </c>
    </row>
    <row r="66" spans="2:3" x14ac:dyDescent="0.25">
      <c r="B66" s="7"/>
      <c r="C66" s="8" t="s">
        <v>56</v>
      </c>
    </row>
    <row r="67" spans="2:3" x14ac:dyDescent="0.25">
      <c r="B67" s="7"/>
      <c r="C67" s="9"/>
    </row>
    <row r="68" spans="2:3" x14ac:dyDescent="0.25">
      <c r="B68" s="7"/>
      <c r="C68" s="10" t="s">
        <v>57</v>
      </c>
    </row>
    <row r="69" spans="2:3" x14ac:dyDescent="0.25">
      <c r="B69" s="7"/>
      <c r="C69" s="10" t="s">
        <v>58</v>
      </c>
    </row>
    <row r="70" spans="2:3" x14ac:dyDescent="0.25">
      <c r="B70" s="7"/>
      <c r="C70" s="8" t="s">
        <v>12</v>
      </c>
    </row>
    <row r="71" spans="2:3" x14ac:dyDescent="0.25">
      <c r="B71" s="7"/>
      <c r="C71" s="9" t="s">
        <v>59</v>
      </c>
    </row>
    <row r="72" spans="2:3" x14ac:dyDescent="0.25">
      <c r="B72" s="7"/>
      <c r="C72" s="9" t="s">
        <v>60</v>
      </c>
    </row>
    <row r="73" spans="2:3" x14ac:dyDescent="0.25">
      <c r="B73" s="7"/>
      <c r="C73" s="8" t="s">
        <v>15</v>
      </c>
    </row>
    <row r="74" spans="2:3" x14ac:dyDescent="0.25">
      <c r="B74" s="7"/>
      <c r="C74" s="9"/>
    </row>
    <row r="75" spans="2:3" x14ac:dyDescent="0.25">
      <c r="B75" s="7"/>
      <c r="C75" s="8" t="s">
        <v>61</v>
      </c>
    </row>
    <row r="76" spans="2:3" x14ac:dyDescent="0.25">
      <c r="B76" s="7"/>
      <c r="C76" s="9"/>
    </row>
    <row r="77" spans="2:3" ht="30" x14ac:dyDescent="0.25">
      <c r="B77" s="7"/>
      <c r="C77" s="10" t="s">
        <v>62</v>
      </c>
    </row>
    <row r="78" spans="2:3" x14ac:dyDescent="0.25">
      <c r="B78" s="7"/>
      <c r="C78" s="9" t="s">
        <v>63</v>
      </c>
    </row>
    <row r="79" spans="2:3" x14ac:dyDescent="0.25">
      <c r="B79" s="7"/>
      <c r="C79" s="9" t="s">
        <v>64</v>
      </c>
    </row>
    <row r="80" spans="2:3" x14ac:dyDescent="0.25">
      <c r="B80" s="7"/>
      <c r="C80" s="9"/>
    </row>
    <row r="81" spans="2:3" x14ac:dyDescent="0.25">
      <c r="B81" s="7"/>
      <c r="C81" s="8" t="s">
        <v>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Cotización</vt:lpstr>
      <vt:lpstr>Ref 4458</vt:lpstr>
      <vt:lpstr>Hoja1</vt:lpstr>
      <vt:lpstr>Tabla de Costos</vt:lpstr>
      <vt:lpstr>Costos Maquinado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IDM Ingenieria</cp:lastModifiedBy>
  <cp:lastPrinted>2025-01-15T00:42:28Z</cp:lastPrinted>
  <dcterms:created xsi:type="dcterms:W3CDTF">2017-12-22T20:34:59Z</dcterms:created>
  <dcterms:modified xsi:type="dcterms:W3CDTF">2025-02-21T20:04:19Z</dcterms:modified>
</cp:coreProperties>
</file>