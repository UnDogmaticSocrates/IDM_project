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dministracion IDM\Desktop\TALLER\1 IDM\1 IDM 2025\2 ORDENES DE COMPRA\Alexa Logistic\"/>
    </mc:Choice>
  </mc:AlternateContent>
  <xr:revisionPtr revIDLastSave="0" documentId="8_{00B50C68-F422-4090-B248-FA4AD8EED84A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Cotizacion" sheetId="1" r:id="rId1"/>
    <sheet name="Sheet3" sheetId="3" r:id="rId2"/>
    <sheet name="Sheet2" sheetId="2" r:id="rId3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37" i="1" l="1"/>
  <c r="L36" i="1"/>
  <c r="L16" i="1"/>
  <c r="L17" i="1"/>
  <c r="L18" i="1"/>
  <c r="L19" i="1"/>
  <c r="L20" i="1"/>
  <c r="L21" i="1"/>
  <c r="L22" i="1"/>
  <c r="L23" i="1"/>
  <c r="L25" i="1"/>
  <c r="L26" i="1"/>
  <c r="L27" i="1"/>
  <c r="L29" i="1"/>
  <c r="L30" i="1"/>
  <c r="L32" i="1"/>
  <c r="L15" i="1"/>
  <c r="L34" i="1" s="1"/>
  <c r="M16" i="1" l="1"/>
  <c r="M17" i="1"/>
  <c r="M18" i="1"/>
  <c r="M19" i="1"/>
  <c r="M20" i="1"/>
  <c r="M21" i="1"/>
  <c r="M22" i="1"/>
  <c r="M23" i="1"/>
  <c r="M25" i="1"/>
  <c r="M26" i="1"/>
  <c r="M27" i="1"/>
  <c r="M29" i="1"/>
  <c r="M30" i="1"/>
  <c r="M32" i="1"/>
  <c r="M15" i="1"/>
</calcChain>
</file>

<file path=xl/sharedStrings.xml><?xml version="1.0" encoding="utf-8"?>
<sst xmlns="http://schemas.openxmlformats.org/spreadsheetml/2006/main" count="106" uniqueCount="100">
  <si>
    <t>Importe</t>
  </si>
  <si>
    <t>Precio Unitario</t>
  </si>
  <si>
    <t>Cantidad</t>
  </si>
  <si>
    <r>
      <t>Sub</t>
    </r>
    <r>
      <rPr>
        <sz val="11"/>
        <color rgb="FF000000"/>
        <rFont val="Consolas"/>
        <family val="3"/>
      </rPr>
      <t> EnvioEmail_HojaActiva_comoPDF()</t>
    </r>
  </si>
  <si>
    <r>
      <t>Dim</t>
    </r>
    <r>
      <rPr>
        <sz val="11"/>
        <color rgb="FF000000"/>
        <rFont val="Consolas"/>
        <family val="3"/>
      </rPr>
      <t> olApp </t>
    </r>
    <r>
      <rPr>
        <b/>
        <sz val="11"/>
        <color rgb="FF006699"/>
        <rFont val="Consolas"/>
        <family val="3"/>
      </rPr>
      <t>As</t>
    </r>
    <r>
      <rPr>
        <sz val="11"/>
        <color rgb="FF000000"/>
        <rFont val="Consolas"/>
        <family val="3"/>
      </rPr>
      <t> </t>
    </r>
    <r>
      <rPr>
        <b/>
        <sz val="11"/>
        <color rgb="FF006699"/>
        <rFont val="Consolas"/>
        <family val="3"/>
      </rPr>
      <t>Object</t>
    </r>
  </si>
  <si>
    <r>
      <t>Dim</t>
    </r>
    <r>
      <rPr>
        <sz val="11"/>
        <color rgb="FF000000"/>
        <rFont val="Consolas"/>
        <family val="3"/>
      </rPr>
      <t> olMail </t>
    </r>
    <r>
      <rPr>
        <b/>
        <sz val="11"/>
        <color rgb="FF006699"/>
        <rFont val="Consolas"/>
        <family val="3"/>
      </rPr>
      <t>As</t>
    </r>
    <r>
      <rPr>
        <sz val="11"/>
        <color rgb="FF000000"/>
        <rFont val="Consolas"/>
        <family val="3"/>
      </rPr>
      <t> </t>
    </r>
    <r>
      <rPr>
        <b/>
        <sz val="11"/>
        <color rgb="FF006699"/>
        <rFont val="Consolas"/>
        <family val="3"/>
      </rPr>
      <t>Object</t>
    </r>
  </si>
  <si>
    <r>
      <t>Dim</t>
    </r>
    <r>
      <rPr>
        <sz val="11"/>
        <color rgb="FF000000"/>
        <rFont val="Consolas"/>
        <family val="3"/>
      </rPr>
      <t> RutaTemporal </t>
    </r>
    <r>
      <rPr>
        <b/>
        <sz val="11"/>
        <color rgb="FF006699"/>
        <rFont val="Consolas"/>
        <family val="3"/>
      </rPr>
      <t>As</t>
    </r>
    <r>
      <rPr>
        <sz val="11"/>
        <color rgb="FF000000"/>
        <rFont val="Consolas"/>
        <family val="3"/>
      </rPr>
      <t> </t>
    </r>
    <r>
      <rPr>
        <b/>
        <sz val="11"/>
        <color rgb="FF006699"/>
        <rFont val="Consolas"/>
        <family val="3"/>
      </rPr>
      <t>String</t>
    </r>
    <r>
      <rPr>
        <sz val="11"/>
        <color rgb="FF000000"/>
        <rFont val="Consolas"/>
        <family val="3"/>
      </rPr>
      <t>, NombreFicheroTemporal  </t>
    </r>
    <r>
      <rPr>
        <b/>
        <sz val="11"/>
        <color rgb="FF006699"/>
        <rFont val="Consolas"/>
        <family val="3"/>
      </rPr>
      <t>As</t>
    </r>
    <r>
      <rPr>
        <sz val="11"/>
        <color rgb="FF000000"/>
        <rFont val="Consolas"/>
        <family val="3"/>
      </rPr>
      <t> </t>
    </r>
    <r>
      <rPr>
        <b/>
        <sz val="11"/>
        <color rgb="FF006699"/>
        <rFont val="Consolas"/>
        <family val="3"/>
      </rPr>
      <t>String</t>
    </r>
    <r>
      <rPr>
        <sz val="11"/>
        <color rgb="FF000000"/>
        <rFont val="Consolas"/>
        <family val="3"/>
      </rPr>
      <t>, RutaCompleta </t>
    </r>
    <r>
      <rPr>
        <b/>
        <sz val="11"/>
        <color rgb="FF006699"/>
        <rFont val="Consolas"/>
        <family val="3"/>
      </rPr>
      <t>As</t>
    </r>
    <r>
      <rPr>
        <sz val="11"/>
        <color rgb="FF000000"/>
        <rFont val="Consolas"/>
        <family val="3"/>
      </rPr>
      <t> </t>
    </r>
    <r>
      <rPr>
        <b/>
        <sz val="11"/>
        <color rgb="FF006699"/>
        <rFont val="Consolas"/>
        <family val="3"/>
      </rPr>
      <t>String</t>
    </r>
  </si>
  <si>
    <t>'deshabilitamos el refresco de pantalla</t>
  </si>
  <si>
    <t>'y muy importante los eventos!</t>
  </si>
  <si>
    <r>
      <t>With</t>
    </r>
    <r>
      <rPr>
        <sz val="11"/>
        <color rgb="FF000000"/>
        <rFont val="Consolas"/>
        <family val="3"/>
      </rPr>
      <t> Application</t>
    </r>
  </si>
  <si>
    <r>
      <t>    .ScreenUpdating = </t>
    </r>
    <r>
      <rPr>
        <b/>
        <sz val="11"/>
        <color rgb="FF006699"/>
        <rFont val="Consolas"/>
        <family val="3"/>
      </rPr>
      <t>False</t>
    </r>
  </si>
  <si>
    <r>
      <t>    .EnableEvents = </t>
    </r>
    <r>
      <rPr>
        <b/>
        <sz val="11"/>
        <color rgb="FF006699"/>
        <rFont val="Consolas"/>
        <family val="3"/>
      </rPr>
      <t>False</t>
    </r>
  </si>
  <si>
    <r>
      <t>End</t>
    </r>
    <r>
      <rPr>
        <sz val="11"/>
        <color rgb="FF000000"/>
        <rFont val="Consolas"/>
        <family val="3"/>
      </rPr>
      <t> </t>
    </r>
    <r>
      <rPr>
        <b/>
        <sz val="11"/>
        <color rgb="FF006699"/>
        <rFont val="Consolas"/>
        <family val="3"/>
      </rPr>
      <t>With</t>
    </r>
  </si>
  <si>
    <t>'Definimos una variable que será la Ruta donde guardaremos,</t>
  </si>
  <si>
    <t>'antes de enviar como adjunto, el pdf que generaremos...</t>
  </si>
  <si>
    <r>
      <t>RutaTemporal = Environ$(</t>
    </r>
    <r>
      <rPr>
        <sz val="11"/>
        <color rgb="FF0000FF"/>
        <rFont val="Consolas"/>
        <family val="3"/>
      </rPr>
      <t>"temp"</t>
    </r>
    <r>
      <rPr>
        <sz val="11"/>
        <color rgb="FF000000"/>
        <rFont val="Consolas"/>
        <family val="3"/>
      </rPr>
      <t>) &amp; "\"</t>
    </r>
  </si>
  <si>
    <t>'Generamos el nombre del fichero temporal .Pdf</t>
  </si>
  <si>
    <r>
      <t>NombreFicheroTemporal = ActiveSheet.Name &amp; </t>
    </r>
    <r>
      <rPr>
        <sz val="11"/>
        <color rgb="FF0000FF"/>
        <rFont val="Consolas"/>
        <family val="3"/>
      </rPr>
      <t>".pdf"</t>
    </r>
  </si>
  <si>
    <t>'Combinando las dos variables anteriores, tendremos la Ruta Completa de nuestro .pdf</t>
  </si>
  <si>
    <t>RutaCompleta = RutaTemporal &amp; NombreFicheroTemporal</t>
  </si>
  <si>
    <t>'Depuramos posibles errores a la hora de Exportar</t>
  </si>
  <si>
    <t>' a la ruta anterior, la hoja activa como PDF</t>
  </si>
  <si>
    <r>
      <t>On</t>
    </r>
    <r>
      <rPr>
        <sz val="11"/>
        <color rgb="FF000000"/>
        <rFont val="Consolas"/>
        <family val="3"/>
      </rPr>
      <t> </t>
    </r>
    <r>
      <rPr>
        <b/>
        <sz val="11"/>
        <color rgb="FF006699"/>
        <rFont val="Consolas"/>
        <family val="3"/>
      </rPr>
      <t>Error</t>
    </r>
    <r>
      <rPr>
        <sz val="11"/>
        <color rgb="FF000000"/>
        <rFont val="Consolas"/>
        <family val="3"/>
      </rPr>
      <t> </t>
    </r>
    <r>
      <rPr>
        <b/>
        <sz val="11"/>
        <color rgb="FF006699"/>
        <rFont val="Consolas"/>
        <family val="3"/>
      </rPr>
      <t>GoTo</t>
    </r>
    <r>
      <rPr>
        <sz val="11"/>
        <color rgb="FF000000"/>
        <rFont val="Consolas"/>
        <family val="3"/>
      </rPr>
      <t> err</t>
    </r>
  </si>
  <si>
    <t>ActiveSheet.ExportAsFixedFormat _</t>
  </si>
  <si>
    <t>        Type:=xlTypePDF, _</t>
  </si>
  <si>
    <t>        Filename:=RutaCompleta, _</t>
  </si>
  <si>
    <t>        Quality:=xlQualityStandard, _</t>
  </si>
  <si>
    <r>
      <t>        IncludeDocProperties:=</t>
    </r>
    <r>
      <rPr>
        <b/>
        <sz val="11"/>
        <color rgb="FF006699"/>
        <rFont val="Consolas"/>
        <family val="3"/>
      </rPr>
      <t>True</t>
    </r>
    <r>
      <rPr>
        <sz val="11"/>
        <color rgb="FF000000"/>
        <rFont val="Consolas"/>
        <family val="3"/>
      </rPr>
      <t>, _</t>
    </r>
  </si>
  <si>
    <r>
      <t>        IgnorePrintAreas:=</t>
    </r>
    <r>
      <rPr>
        <b/>
        <sz val="11"/>
        <color rgb="FF006699"/>
        <rFont val="Consolas"/>
        <family val="3"/>
      </rPr>
      <t>False</t>
    </r>
    <r>
      <rPr>
        <sz val="11"/>
        <color rgb="FF000000"/>
        <rFont val="Consolas"/>
        <family val="3"/>
      </rPr>
      <t>, _</t>
    </r>
  </si>
  <si>
    <r>
      <t>        OpenAfterPublish:=</t>
    </r>
    <r>
      <rPr>
        <b/>
        <sz val="11"/>
        <color rgb="FF006699"/>
        <rFont val="Consolas"/>
        <family val="3"/>
      </rPr>
      <t>False</t>
    </r>
  </si>
  <si>
    <t>'LLega el momento de abrir la aplicación Outlook</t>
  </si>
  <si>
    <r>
      <t>Set</t>
    </r>
    <r>
      <rPr>
        <sz val="11"/>
        <color rgb="FF000000"/>
        <rFont val="Consolas"/>
        <family val="3"/>
      </rPr>
      <t> olApp = CreateObject(</t>
    </r>
    <r>
      <rPr>
        <sz val="11"/>
        <color rgb="FF0000FF"/>
        <rFont val="Consolas"/>
        <family val="3"/>
      </rPr>
      <t>"Outlook.Application"</t>
    </r>
    <r>
      <rPr>
        <sz val="11"/>
        <color rgb="FF000000"/>
        <rFont val="Consolas"/>
        <family val="3"/>
      </rPr>
      <t>)</t>
    </r>
  </si>
  <si>
    <t>'y generar un nuevo email a enviar...</t>
  </si>
  <si>
    <r>
      <t>Set</t>
    </r>
    <r>
      <rPr>
        <sz val="11"/>
        <color rgb="FF000000"/>
        <rFont val="Consolas"/>
        <family val="3"/>
      </rPr>
      <t> olMail = olApp.CreateItem(0)</t>
    </r>
  </si>
  <si>
    <r>
      <t>Dim</t>
    </r>
    <r>
      <rPr>
        <sz val="11"/>
        <color rgb="FF000000"/>
        <rFont val="Consolas"/>
        <family val="3"/>
      </rPr>
      <t> destinatario </t>
    </r>
    <r>
      <rPr>
        <b/>
        <sz val="11"/>
        <color rgb="FF006699"/>
        <rFont val="Consolas"/>
        <family val="3"/>
      </rPr>
      <t>As</t>
    </r>
    <r>
      <rPr>
        <sz val="11"/>
        <color rgb="FF000000"/>
        <rFont val="Consolas"/>
        <family val="3"/>
      </rPr>
      <t> </t>
    </r>
    <r>
      <rPr>
        <b/>
        <sz val="11"/>
        <color rgb="FF006699"/>
        <rFont val="Consolas"/>
        <family val="3"/>
      </rPr>
      <t>String</t>
    </r>
    <r>
      <rPr>
        <sz val="11"/>
        <color rgb="FF000000"/>
        <rFont val="Consolas"/>
        <family val="3"/>
      </rPr>
      <t>, Asunto </t>
    </r>
    <r>
      <rPr>
        <b/>
        <sz val="11"/>
        <color rgb="FF006699"/>
        <rFont val="Consolas"/>
        <family val="3"/>
      </rPr>
      <t>As</t>
    </r>
    <r>
      <rPr>
        <sz val="11"/>
        <color rgb="FF000000"/>
        <rFont val="Consolas"/>
        <family val="3"/>
      </rPr>
      <t> </t>
    </r>
    <r>
      <rPr>
        <b/>
        <sz val="11"/>
        <color rgb="FF006699"/>
        <rFont val="Consolas"/>
        <family val="3"/>
      </rPr>
      <t>String</t>
    </r>
    <r>
      <rPr>
        <sz val="11"/>
        <color rgb="FF000000"/>
        <rFont val="Consolas"/>
        <family val="3"/>
      </rPr>
      <t>, Cuerpo </t>
    </r>
    <r>
      <rPr>
        <b/>
        <sz val="11"/>
        <color rgb="FF006699"/>
        <rFont val="Consolas"/>
        <family val="3"/>
      </rPr>
      <t>As</t>
    </r>
    <r>
      <rPr>
        <sz val="11"/>
        <color rgb="FF000000"/>
        <rFont val="Consolas"/>
        <family val="3"/>
      </rPr>
      <t> </t>
    </r>
    <r>
      <rPr>
        <b/>
        <sz val="11"/>
        <color rgb="FF006699"/>
        <rFont val="Consolas"/>
        <family val="3"/>
      </rPr>
      <t>String</t>
    </r>
  </si>
  <si>
    <t>'FALTA ASIGNAR VALORES A ESTAS VARIABLES!!!</t>
  </si>
  <si>
    <r>
      <t>On</t>
    </r>
    <r>
      <rPr>
        <sz val="11"/>
        <color rgb="FF000000"/>
        <rFont val="Consolas"/>
        <family val="3"/>
      </rPr>
      <t> </t>
    </r>
    <r>
      <rPr>
        <b/>
        <sz val="11"/>
        <color rgb="FF006699"/>
        <rFont val="Consolas"/>
        <family val="3"/>
      </rPr>
      <t>Error</t>
    </r>
    <r>
      <rPr>
        <sz val="11"/>
        <color rgb="FF000000"/>
        <rFont val="Consolas"/>
        <family val="3"/>
      </rPr>
      <t> </t>
    </r>
    <r>
      <rPr>
        <b/>
        <sz val="11"/>
        <color rgb="FF006699"/>
        <rFont val="Consolas"/>
        <family val="3"/>
      </rPr>
      <t>Resume</t>
    </r>
    <r>
      <rPr>
        <sz val="11"/>
        <color rgb="FF000000"/>
        <rFont val="Consolas"/>
        <family val="3"/>
      </rPr>
      <t> </t>
    </r>
    <r>
      <rPr>
        <b/>
        <sz val="11"/>
        <color rgb="FF006699"/>
        <rFont val="Consolas"/>
        <family val="3"/>
      </rPr>
      <t>Next</t>
    </r>
  </si>
  <si>
    <r>
      <t>With</t>
    </r>
    <r>
      <rPr>
        <sz val="11"/>
        <color rgb="FF000000"/>
        <rFont val="Consolas"/>
        <family val="3"/>
      </rPr>
      <t> olMail</t>
    </r>
  </si>
  <si>
    <r>
      <t>    .to = destinatario          </t>
    </r>
    <r>
      <rPr>
        <sz val="11"/>
        <color rgb="FF008200"/>
        <rFont val="Consolas"/>
        <family val="3"/>
      </rPr>
      <t>'añadimos el destinatario, el Para...</t>
    </r>
  </si>
  <si>
    <r>
      <t>    </t>
    </r>
    <r>
      <rPr>
        <sz val="11"/>
        <color rgb="FF008200"/>
        <rFont val="Consolas"/>
        <family val="3"/>
      </rPr>
      <t>'.CC = destinatario         'para adjuntar destinatario en Con Copia a...</t>
    </r>
  </si>
  <si>
    <r>
      <t>    </t>
    </r>
    <r>
      <rPr>
        <sz val="11"/>
        <color rgb="FF008200"/>
        <rFont val="Consolas"/>
        <family val="3"/>
      </rPr>
      <t>'.BCC = destinatario        'para adjuntar destinatario en Con Copia Oculta a...</t>
    </r>
  </si>
  <si>
    <r>
      <t>    .Subject = Asunto        </t>
    </r>
    <r>
      <rPr>
        <sz val="11"/>
        <color rgb="FF008200"/>
        <rFont val="Consolas"/>
        <family val="3"/>
      </rPr>
      <t>'indicaríamos el Asunto</t>
    </r>
  </si>
  <si>
    <r>
      <t>    .Body = Cuerpo           </t>
    </r>
    <r>
      <rPr>
        <sz val="11"/>
        <color rgb="FF008200"/>
        <rFont val="Consolas"/>
        <family val="3"/>
      </rPr>
      <t>'indicaríamos el Cuerpo del email</t>
    </r>
  </si>
  <si>
    <r>
      <t>    </t>
    </r>
    <r>
      <rPr>
        <sz val="11"/>
        <color rgb="FF008200"/>
        <rFont val="Consolas"/>
        <family val="3"/>
      </rPr>
      <t>'adjuntamos el fichero pdf desde la ruta donde la guardamos</t>
    </r>
  </si>
  <si>
    <t>    .Attachments.Add RutaCompleta</t>
  </si>
  <si>
    <r>
      <t>    .Display    </t>
    </r>
    <r>
      <rPr>
        <sz val="11"/>
        <color rgb="FF008200"/>
        <rFont val="Consolas"/>
        <family val="3"/>
      </rPr>
      <t>'o bien usaremos .Send para enviar directamente...</t>
    </r>
  </si>
  <si>
    <r>
      <t>    </t>
    </r>
    <r>
      <rPr>
        <sz val="11"/>
        <color rgb="FF008200"/>
        <rFont val="Consolas"/>
        <family val="3"/>
      </rPr>
      <t>'.Send</t>
    </r>
  </si>
  <si>
    <r>
      <t>On</t>
    </r>
    <r>
      <rPr>
        <sz val="11"/>
        <color rgb="FF000000"/>
        <rFont val="Consolas"/>
        <family val="3"/>
      </rPr>
      <t> </t>
    </r>
    <r>
      <rPr>
        <b/>
        <sz val="11"/>
        <color rgb="FF006699"/>
        <rFont val="Consolas"/>
        <family val="3"/>
      </rPr>
      <t>Error</t>
    </r>
    <r>
      <rPr>
        <sz val="11"/>
        <color rgb="FF000000"/>
        <rFont val="Consolas"/>
        <family val="3"/>
      </rPr>
      <t> </t>
    </r>
    <r>
      <rPr>
        <b/>
        <sz val="11"/>
        <color rgb="FF006699"/>
        <rFont val="Consolas"/>
        <family val="3"/>
      </rPr>
      <t>GoTo</t>
    </r>
    <r>
      <rPr>
        <sz val="11"/>
        <color rgb="FF000000"/>
        <rFont val="Consolas"/>
        <family val="3"/>
      </rPr>
      <t> 0</t>
    </r>
  </si>
  <si>
    <t>'Ya que el email ha sido enviado (o mostrado) con el pdf adjuntado</t>
  </si>
  <si>
    <t>'podemos borrar el pdf que habíamos guardado (en la carpeta temporal)...</t>
  </si>
  <si>
    <t>Kill RutaCompleta</t>
  </si>
  <si>
    <t>'limpiamos las variables creadas.</t>
  </si>
  <si>
    <r>
      <t>Set</t>
    </r>
    <r>
      <rPr>
        <sz val="11"/>
        <color rgb="FF000000"/>
        <rFont val="Consolas"/>
        <family val="3"/>
      </rPr>
      <t> olMail = </t>
    </r>
    <r>
      <rPr>
        <b/>
        <sz val="11"/>
        <color rgb="FF006699"/>
        <rFont val="Consolas"/>
        <family val="3"/>
      </rPr>
      <t>Nothing</t>
    </r>
  </si>
  <si>
    <r>
      <t>Set</t>
    </r>
    <r>
      <rPr>
        <sz val="11"/>
        <color rgb="FF000000"/>
        <rFont val="Consolas"/>
        <family val="3"/>
      </rPr>
      <t> olApp = </t>
    </r>
    <r>
      <rPr>
        <b/>
        <sz val="11"/>
        <color rgb="FF006699"/>
        <rFont val="Consolas"/>
        <family val="3"/>
      </rPr>
      <t>Nothing</t>
    </r>
  </si>
  <si>
    <t>'Reestablecemos las condiciones prevías</t>
  </si>
  <si>
    <t>'refresco de pantalla y activamos loe eventos</t>
  </si>
  <si>
    <r>
      <t>    .ScreenUpdating = </t>
    </r>
    <r>
      <rPr>
        <b/>
        <sz val="11"/>
        <color rgb="FF006699"/>
        <rFont val="Consolas"/>
        <family val="3"/>
      </rPr>
      <t>True</t>
    </r>
  </si>
  <si>
    <r>
      <t>    .EnableEvents = </t>
    </r>
    <r>
      <rPr>
        <b/>
        <sz val="11"/>
        <color rgb="FF006699"/>
        <rFont val="Consolas"/>
        <family val="3"/>
      </rPr>
      <t>True</t>
    </r>
  </si>
  <si>
    <r>
      <t>Exit</t>
    </r>
    <r>
      <rPr>
        <sz val="11"/>
        <color rgb="FF000000"/>
        <rFont val="Consolas"/>
        <family val="3"/>
      </rPr>
      <t> </t>
    </r>
    <r>
      <rPr>
        <b/>
        <sz val="11"/>
        <color rgb="FF006699"/>
        <rFont val="Consolas"/>
        <family val="3"/>
      </rPr>
      <t>Sub</t>
    </r>
  </si>
  <si>
    <t>'para el control de errores en caso de exportación como Pdf...</t>
  </si>
  <si>
    <t>err:</t>
  </si>
  <si>
    <t>    MsgBox err.Description</t>
  </si>
  <si>
    <r>
      <t>End</t>
    </r>
    <r>
      <rPr>
        <sz val="11"/>
        <color rgb="FF000000"/>
        <rFont val="Consolas"/>
        <family val="3"/>
      </rPr>
      <t> </t>
    </r>
    <r>
      <rPr>
        <b/>
        <sz val="11"/>
        <color rgb="FF006699"/>
        <rFont val="Consolas"/>
        <family val="3"/>
      </rPr>
      <t>Sub</t>
    </r>
  </si>
  <si>
    <t>Unidad de Medida</t>
  </si>
  <si>
    <t>Pza</t>
  </si>
  <si>
    <t>Pzas</t>
  </si>
  <si>
    <t>Set</t>
  </si>
  <si>
    <t>Sets</t>
  </si>
  <si>
    <t>Moneda</t>
  </si>
  <si>
    <t>Estos precios son en Moneda Nacional Mas Iva</t>
  </si>
  <si>
    <t>Estos Precios son en Dolares mas IVA</t>
  </si>
  <si>
    <t>Tiempo de Entrega:</t>
  </si>
  <si>
    <t>$</t>
  </si>
  <si>
    <t>Simbolo de Moneda</t>
  </si>
  <si>
    <t>Moneda IVA</t>
  </si>
  <si>
    <t>Dlls</t>
  </si>
  <si>
    <t>MN</t>
  </si>
  <si>
    <t>Evite Imprimir este documento si no es necesario. De esta manera Ahorra Recursos. 
Cuidamos EL medio ambiente</t>
  </si>
  <si>
    <t>Esterline Advanced Sensors Mexico S. de R.L. de C.V.</t>
  </si>
  <si>
    <t>Descripción</t>
  </si>
  <si>
    <t>Seleccionar Tipo de Moneda</t>
  </si>
  <si>
    <t>Evite imprimir este documento si no es necesario, de esta manera ahorra recursos. Cuidemos el Medio ambiente.</t>
  </si>
  <si>
    <t>ORDEN DE COMPRA</t>
  </si>
  <si>
    <t>Num. OC</t>
  </si>
  <si>
    <t>Fecha</t>
  </si>
  <si>
    <t>Cot. #</t>
  </si>
  <si>
    <t>Total</t>
  </si>
  <si>
    <t>Sub Total</t>
  </si>
  <si>
    <t>Hoja</t>
  </si>
  <si>
    <r>
      <rPr>
        <b/>
        <sz val="11"/>
        <color theme="1"/>
        <rFont val="Calibri"/>
        <family val="2"/>
        <scheme val="minor"/>
      </rPr>
      <t>Favor de Entregar:</t>
    </r>
    <r>
      <rPr>
        <sz val="11"/>
        <color theme="1"/>
        <rFont val="Calibri"/>
        <family val="2"/>
        <scheme val="minor"/>
      </rPr>
      <t xml:space="preserve">
</t>
    </r>
    <r>
      <rPr>
        <b/>
        <sz val="11"/>
        <color theme="4" tint="-0.249977111117893"/>
        <rFont val="Calibri"/>
        <family val="2"/>
        <scheme val="minor"/>
      </rPr>
      <t>Ingenieria Diseño y Maquinado</t>
    </r>
    <r>
      <rPr>
        <sz val="11"/>
        <color theme="1"/>
        <rFont val="Calibri"/>
        <family val="2"/>
        <scheme val="minor"/>
      </rPr>
      <t xml:space="preserve">
José Angel Remigio Guerrero Timal
RFC: GUTA580927-QW6</t>
    </r>
  </si>
  <si>
    <t>C. Lázaro Cárdenas #4559 
Col. Gabriel Rodríguez CP 22207 
Tijuana B.C.
Tel : 664 661 72 51</t>
  </si>
  <si>
    <r>
      <t xml:space="preserve">Proveedor
</t>
    </r>
    <r>
      <rPr>
        <b/>
        <sz val="11"/>
        <color theme="4" tint="-0.249977111117893"/>
        <rFont val="Calibri"/>
        <family val="2"/>
        <scheme val="minor"/>
      </rPr>
      <t>Marcas y Representaciones, SA de CV</t>
    </r>
    <r>
      <rPr>
        <sz val="11"/>
        <color theme="1"/>
        <rFont val="Calibri"/>
        <family val="2"/>
        <scheme val="minor"/>
      </rPr>
      <t xml:space="preserve">
RFC.  MRE921128TY2
Manuel J Clouthier 
#18375-3
Tijuana B.C.  CP.22216
TEL. 664 866-6639 Ext.121</t>
    </r>
  </si>
  <si>
    <t>IVA 16%</t>
  </si>
  <si>
    <t>Pac</t>
  </si>
  <si>
    <t>Envío</t>
  </si>
  <si>
    <t>COV03446</t>
  </si>
  <si>
    <t xml:space="preserve">PRO05313 FJM Security 2615B-KD </t>
  </si>
  <si>
    <t xml:space="preserve">Cerraduras tubulares </t>
  </si>
  <si>
    <t>5 a 6 días hábiles.</t>
  </si>
  <si>
    <t>dlls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</si>
</sst>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(&quot;$&quot;* #,##0.00_);_(&quot;$&quot;* \(#,##0.00\);_(&quot;$&quot;* &quot;-&quot;??_);_(@_)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12"/>
      <color theme="0"/>
      <name val="Calibri"/>
      <family val="2"/>
      <scheme val="minor"/>
    </font>
    <font>
      <sz val="11"/>
      <color rgb="FF000000"/>
      <name val="Consolas"/>
      <family val="3"/>
    </font>
    <font>
      <sz val="11"/>
      <color rgb="FFAFAFAF"/>
      <name val="Consolas"/>
      <family val="3"/>
    </font>
    <font>
      <b/>
      <sz val="11"/>
      <color rgb="FF006699"/>
      <name val="Consolas"/>
      <family val="3"/>
    </font>
    <font>
      <sz val="11"/>
      <color rgb="FF008200"/>
      <name val="Consolas"/>
      <family val="3"/>
    </font>
    <font>
      <sz val="11"/>
      <color rgb="FF0000FF"/>
      <name val="Consolas"/>
      <family val="3"/>
    </font>
    <font>
      <b/>
      <sz val="14"/>
      <color theme="1"/>
      <name val="Calibri"/>
      <family val="2"/>
      <scheme val="minor"/>
    </font>
    <font>
      <b/>
      <u/>
      <sz val="11"/>
      <name val="Calibri"/>
      <family val="2"/>
      <scheme val="minor"/>
    </font>
    <font>
      <b/>
      <sz val="14"/>
      <color theme="4" tint="-0.249977111117893"/>
      <name val="Calibri"/>
      <family val="2"/>
      <scheme val="minor"/>
    </font>
    <font>
      <sz val="14"/>
      <color theme="4" tint="-0.249977111117893"/>
      <name val="Calibri"/>
      <family val="2"/>
      <scheme val="minor"/>
    </font>
    <font>
      <sz val="12"/>
      <color theme="1"/>
      <name val="Calibri"/>
      <family val="2"/>
      <scheme val="minor"/>
    </font>
    <font>
      <i/>
      <sz val="12"/>
      <color theme="4" tint="-0.249977111117893"/>
      <name val="Calibri"/>
      <family val="2"/>
      <scheme val="minor"/>
    </font>
    <font>
      <sz val="9"/>
      <color theme="0" tint="-0.249977111117893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2"/>
      <name val="Calibri"/>
      <family val="2"/>
      <scheme val="minor"/>
    </font>
    <font>
      <b/>
      <sz val="11"/>
      <color theme="4" tint="-0.249977111117893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4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</fills>
  <borders count="20">
    <border>
      <left/>
      <right/>
      <top/>
      <bottom/>
      <diagonal/>
    </border>
    <border>
      <left style="thick">
        <color rgb="FF6CE26C"/>
      </left>
      <right/>
      <top/>
      <bottom/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/>
      <right/>
      <top/>
      <bottom style="hair">
        <color auto="1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 style="thin">
        <color auto="1"/>
      </top>
      <bottom style="double">
        <color auto="1"/>
      </bottom>
      <diagonal/>
    </border>
  </borders>
  <cellStyleXfs count="1">
    <xf numFmtId="0" fontId="0" fillId="0" borderId="0"/>
  </cellStyleXfs>
  <cellXfs count="75">
    <xf numFmtId="0" fontId="0" fillId="0" borderId="0" xfId="0"/>
    <xf numFmtId="0" fontId="0" fillId="0" borderId="0" xfId="0" applyAlignment="1">
      <alignment horizontal="center"/>
    </xf>
    <xf numFmtId="0" fontId="4" fillId="0" borderId="0" xfId="0" applyFont="1" applyAlignment="1">
      <alignment horizontal="left" vertical="top" wrapText="1"/>
    </xf>
    <xf numFmtId="0" fontId="5" fillId="0" borderId="1" xfId="0" applyFont="1" applyBorder="1" applyAlignment="1">
      <alignment horizontal="left" vertical="top" wrapText="1"/>
    </xf>
    <xf numFmtId="0" fontId="3" fillId="0" borderId="1" xfId="0" applyFont="1" applyBorder="1" applyAlignment="1">
      <alignment horizontal="left" vertical="top" wrapText="1"/>
    </xf>
    <xf numFmtId="0" fontId="6" fillId="0" borderId="1" xfId="0" applyFont="1" applyBorder="1" applyAlignment="1">
      <alignment horizontal="left" vertical="top" wrapText="1"/>
    </xf>
    <xf numFmtId="0" fontId="10" fillId="0" borderId="0" xfId="0" applyFont="1"/>
    <xf numFmtId="0" fontId="11" fillId="0" borderId="0" xfId="0" applyFont="1" applyAlignment="1">
      <alignment horizontal="right"/>
    </xf>
    <xf numFmtId="164" fontId="0" fillId="0" borderId="2" xfId="0" applyNumberFormat="1" applyBorder="1"/>
    <xf numFmtId="0" fontId="0" fillId="0" borderId="4" xfId="0" applyBorder="1"/>
    <xf numFmtId="164" fontId="0" fillId="0" borderId="5" xfId="0" applyNumberFormat="1" applyBorder="1"/>
    <xf numFmtId="12" fontId="0" fillId="0" borderId="0" xfId="0" applyNumberFormat="1"/>
    <xf numFmtId="0" fontId="0" fillId="0" borderId="2" xfId="0" applyBorder="1" applyAlignment="1" applyProtection="1">
      <alignment horizontal="right"/>
      <protection locked="0"/>
    </xf>
    <xf numFmtId="0" fontId="0" fillId="0" borderId="3" xfId="0" applyBorder="1" applyAlignment="1" applyProtection="1">
      <alignment horizontal="left"/>
      <protection locked="0"/>
    </xf>
    <xf numFmtId="164" fontId="0" fillId="0" borderId="2" xfId="0" applyNumberFormat="1" applyBorder="1" applyProtection="1">
      <protection locked="0"/>
    </xf>
    <xf numFmtId="0" fontId="0" fillId="0" borderId="0" xfId="0" applyProtection="1">
      <protection locked="0"/>
    </xf>
    <xf numFmtId="0" fontId="0" fillId="0" borderId="4" xfId="0" applyBorder="1" applyProtection="1">
      <protection locked="0"/>
    </xf>
    <xf numFmtId="0" fontId="0" fillId="0" borderId="5" xfId="0" applyBorder="1" applyAlignment="1" applyProtection="1">
      <alignment horizontal="right"/>
      <protection locked="0"/>
    </xf>
    <xf numFmtId="164" fontId="0" fillId="0" borderId="5" xfId="0" applyNumberFormat="1" applyBorder="1" applyProtection="1">
      <protection locked="0"/>
    </xf>
    <xf numFmtId="0" fontId="10" fillId="0" borderId="0" xfId="0" applyFont="1" applyAlignment="1">
      <alignment horizontal="left"/>
    </xf>
    <xf numFmtId="0" fontId="0" fillId="0" borderId="0" xfId="0" applyAlignment="1">
      <alignment wrapText="1"/>
    </xf>
    <xf numFmtId="0" fontId="12" fillId="0" borderId="0" xfId="0" applyFont="1"/>
    <xf numFmtId="0" fontId="0" fillId="0" borderId="6" xfId="0" applyBorder="1" applyAlignment="1" applyProtection="1">
      <alignment horizontal="left"/>
      <protection locked="0"/>
    </xf>
    <xf numFmtId="0" fontId="0" fillId="0" borderId="0" xfId="0" applyAlignment="1" applyProtection="1">
      <alignment horizontal="left"/>
      <protection locked="0"/>
    </xf>
    <xf numFmtId="0" fontId="0" fillId="0" borderId="0" xfId="0" applyAlignment="1" applyProtection="1">
      <alignment vertical="top" wrapText="1"/>
      <protection locked="0"/>
    </xf>
    <xf numFmtId="49" fontId="0" fillId="0" borderId="0" xfId="0" applyNumberFormat="1" applyProtection="1">
      <protection locked="0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0" xfId="0" applyAlignment="1">
      <alignment vertical="top"/>
    </xf>
    <xf numFmtId="0" fontId="0" fillId="0" borderId="0" xfId="0" applyAlignment="1" applyProtection="1">
      <alignment horizontal="right"/>
      <protection locked="0"/>
    </xf>
    <xf numFmtId="164" fontId="0" fillId="0" borderId="0" xfId="0" applyNumberFormat="1" applyProtection="1">
      <protection locked="0"/>
    </xf>
    <xf numFmtId="164" fontId="0" fillId="0" borderId="0" xfId="0" applyNumberFormat="1"/>
    <xf numFmtId="0" fontId="8" fillId="0" borderId="0" xfId="0" applyFont="1" applyAlignment="1" applyProtection="1">
      <alignment horizontal="right"/>
      <protection locked="0"/>
    </xf>
    <xf numFmtId="164" fontId="10" fillId="4" borderId="0" xfId="0" applyNumberFormat="1" applyFont="1" applyFill="1" applyAlignment="1" applyProtection="1">
      <alignment horizontal="right"/>
      <protection locked="0"/>
    </xf>
    <xf numFmtId="164" fontId="15" fillId="0" borderId="0" xfId="0" applyNumberFormat="1" applyFont="1"/>
    <xf numFmtId="0" fontId="9" fillId="0" borderId="0" xfId="0" applyFont="1"/>
    <xf numFmtId="164" fontId="15" fillId="5" borderId="19" xfId="0" applyNumberFormat="1" applyFont="1" applyFill="1" applyBorder="1"/>
    <xf numFmtId="0" fontId="15" fillId="0" borderId="0" xfId="0" applyFont="1"/>
    <xf numFmtId="0" fontId="0" fillId="0" borderId="0" xfId="0" applyAlignment="1" applyProtection="1">
      <alignment horizontal="left" vertical="top" wrapText="1"/>
      <protection locked="0"/>
    </xf>
    <xf numFmtId="0" fontId="0" fillId="0" borderId="3" xfId="0" applyBorder="1" applyAlignment="1" applyProtection="1">
      <alignment horizontal="left" vertical="top" wrapText="1"/>
      <protection locked="0"/>
    </xf>
    <xf numFmtId="0" fontId="0" fillId="0" borderId="0" xfId="0" applyAlignment="1">
      <alignment horizontal="right" vertical="top" wrapText="1"/>
    </xf>
    <xf numFmtId="0" fontId="0" fillId="0" borderId="8" xfId="0" applyBorder="1" applyAlignment="1">
      <alignment horizontal="right" vertical="top" wrapText="1"/>
    </xf>
    <xf numFmtId="0" fontId="0" fillId="0" borderId="0" xfId="0" applyAlignment="1" applyProtection="1">
      <alignment horizontal="justify" wrapText="1"/>
      <protection locked="0"/>
    </xf>
    <xf numFmtId="0" fontId="0" fillId="0" borderId="3" xfId="0" applyBorder="1" applyAlignment="1" applyProtection="1">
      <alignment horizontal="justify" wrapText="1"/>
      <protection locked="0"/>
    </xf>
    <xf numFmtId="0" fontId="15" fillId="0" borderId="0" xfId="0" applyFont="1" applyAlignment="1" applyProtection="1">
      <alignment horizontal="left"/>
      <protection locked="0"/>
    </xf>
    <xf numFmtId="0" fontId="0" fillId="0" borderId="0" xfId="0" applyAlignment="1" applyProtection="1">
      <alignment horizontal="center" wrapText="1"/>
      <protection locked="0"/>
    </xf>
    <xf numFmtId="0" fontId="0" fillId="0" borderId="3" xfId="0" applyBorder="1" applyAlignment="1" applyProtection="1">
      <alignment horizontal="center" wrapText="1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3" xfId="0" applyBorder="1" applyAlignment="1" applyProtection="1">
      <alignment horizontal="center"/>
      <protection locked="0"/>
    </xf>
    <xf numFmtId="49" fontId="0" fillId="0" borderId="0" xfId="0" applyNumberFormat="1"/>
    <xf numFmtId="0" fontId="16" fillId="0" borderId="0" xfId="0" applyFont="1" applyAlignment="1">
      <alignment horizontal="center" vertical="top" wrapText="1"/>
    </xf>
    <xf numFmtId="0" fontId="0" fillId="0" borderId="4" xfId="0" applyBorder="1" applyAlignment="1" applyProtection="1">
      <alignment horizontal="left"/>
      <protection locked="0"/>
    </xf>
    <xf numFmtId="0" fontId="0" fillId="0" borderId="6" xfId="0" applyBorder="1" applyAlignment="1" applyProtection="1">
      <alignment horizontal="left"/>
      <protection locked="0"/>
    </xf>
    <xf numFmtId="0" fontId="0" fillId="0" borderId="0" xfId="0" applyAlignment="1" applyProtection="1">
      <alignment horizontal="left"/>
      <protection locked="0"/>
    </xf>
    <xf numFmtId="0" fontId="0" fillId="0" borderId="3" xfId="0" applyBorder="1" applyAlignment="1" applyProtection="1">
      <alignment horizontal="left"/>
      <protection locked="0"/>
    </xf>
    <xf numFmtId="0" fontId="10" fillId="0" borderId="0" xfId="0" applyFont="1" applyAlignment="1">
      <alignment horizontal="justify"/>
    </xf>
    <xf numFmtId="0" fontId="19" fillId="0" borderId="0" xfId="0" applyFont="1" applyAlignment="1">
      <alignment horizontal="justify"/>
    </xf>
    <xf numFmtId="0" fontId="1" fillId="3" borderId="10" xfId="0" applyFont="1" applyFill="1" applyBorder="1" applyAlignment="1">
      <alignment horizontal="center"/>
    </xf>
    <xf numFmtId="0" fontId="1" fillId="3" borderId="11" xfId="0" applyFont="1" applyFill="1" applyBorder="1" applyAlignment="1">
      <alignment horizontal="center"/>
    </xf>
    <xf numFmtId="0" fontId="1" fillId="3" borderId="12" xfId="0" applyFont="1" applyFill="1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7" xfId="0" applyBorder="1" applyAlignment="1">
      <alignment horizontal="center"/>
    </xf>
    <xf numFmtId="14" fontId="0" fillId="0" borderId="17" xfId="0" applyNumberFormat="1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0" xfId="0" applyAlignment="1">
      <alignment horizontal="left" vertical="top" wrapText="1"/>
    </xf>
    <xf numFmtId="0" fontId="14" fillId="0" borderId="0" xfId="0" applyFont="1" applyAlignment="1">
      <alignment horizontal="center"/>
    </xf>
    <xf numFmtId="0" fontId="2" fillId="2" borderId="0" xfId="0" applyFont="1" applyFill="1" applyAlignment="1">
      <alignment horizontal="center"/>
    </xf>
    <xf numFmtId="0" fontId="13" fillId="0" borderId="0" xfId="0" applyFont="1" applyAlignment="1">
      <alignment horizontal="right"/>
    </xf>
    <xf numFmtId="0" fontId="15" fillId="0" borderId="0" xfId="0" applyFont="1" applyAlignment="1">
      <alignment horizontal="left"/>
    </xf>
    <xf numFmtId="0" fontId="0" fillId="0" borderId="0" xfId="0" applyAlignment="1">
      <alignment horizontal="left"/>
    </xf>
    <xf numFmtId="0" fontId="0" fillId="0" borderId="0" xfId="0" applyAlignment="1" applyProtection="1">
      <alignment horizontal="justify" vertical="justify" wrapText="1"/>
      <protection locked="0"/>
    </xf>
    <xf numFmtId="0" fontId="0" fillId="0" borderId="3" xfId="0" applyBorder="1" applyAlignment="1" applyProtection="1">
      <alignment horizontal="justify" vertical="justify" wrapText="1"/>
      <protection locked="0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0033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194310</xdr:colOff>
      <xdr:row>0</xdr:row>
      <xdr:rowOff>0</xdr:rowOff>
    </xdr:from>
    <xdr:to>
      <xdr:col>5</xdr:col>
      <xdr:colOff>511635</xdr:colOff>
      <xdr:row>0</xdr:row>
      <xdr:rowOff>789457</xdr:rowOff>
    </xdr:to>
    <xdr:pic>
      <xdr:nvPicPr>
        <xdr:cNvPr id="3" name="Imagen 2" descr="pasted-image">
          <a:extLst>
            <a:ext uri="{FF2B5EF4-FFF2-40B4-BE49-F238E27FC236}">
              <a16:creationId xmlns:a16="http://schemas.microsoft.com/office/drawing/2014/main" id="{874E4E36-2B8C-4B21-8B4D-934C1EB825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38250" y="0"/>
          <a:ext cx="1064085" cy="789457"/>
        </a:xfrm>
        <a:prstGeom prst="rect">
          <a:avLst/>
        </a:prstGeom>
        <a:noFill/>
        <a:ln w="12700" cap="flat" cmpd="sng">
          <a:noFill/>
          <a:prstDash val="solid"/>
          <a:miter lim="0"/>
          <a:headEnd type="none" w="med" len="med"/>
          <a:tailEnd type="none" w="med" len="med"/>
        </a:ln>
        <a:effectLst/>
      </xdr:spPr>
    </xdr:pic>
    <xdr:clientData/>
  </xdr:twoCellAnchor>
  <xdr:twoCellAnchor editAs="oneCell">
    <xdr:from>
      <xdr:col>5</xdr:col>
      <xdr:colOff>607696</xdr:colOff>
      <xdr:row>0</xdr:row>
      <xdr:rowOff>542925</xdr:rowOff>
    </xdr:from>
    <xdr:to>
      <xdr:col>11</xdr:col>
      <xdr:colOff>678181</xdr:colOff>
      <xdr:row>0</xdr:row>
      <xdr:rowOff>847725</xdr:rowOff>
    </xdr:to>
    <xdr:pic>
      <xdr:nvPicPr>
        <xdr:cNvPr id="6" name="Imagen 3" descr="pasted-image">
          <a:extLst>
            <a:ext uri="{FF2B5EF4-FFF2-40B4-BE49-F238E27FC236}">
              <a16:creationId xmlns:a16="http://schemas.microsoft.com/office/drawing/2014/main" id="{1F440CDD-7B00-4E4F-AE39-23412D93F728}"/>
            </a:ext>
          </a:extLst>
        </xdr:cNvPr>
        <xdr:cNvPicPr/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2398396" y="542925"/>
          <a:ext cx="3971925" cy="304800"/>
        </a:xfrm>
        <a:prstGeom prst="rect">
          <a:avLst/>
        </a:prstGeom>
        <a:noFill/>
        <a:ln w="12700" cap="flat" cmpd="sng">
          <a:noFill/>
          <a:prstDash val="solid"/>
          <a:miter lim="0"/>
          <a:headEnd type="none" w="med" len="med"/>
          <a:tailEnd type="none" w="med" len="med"/>
        </a:ln>
        <a:effectLst/>
      </xdr:spPr>
    </xdr:pic>
    <xdr:clientData/>
  </xdr:twoCellAnchor>
  <xdr:twoCellAnchor editAs="oneCell">
    <xdr:from>
      <xdr:col>15</xdr:col>
      <xdr:colOff>400050</xdr:colOff>
      <xdr:row>1</xdr:row>
      <xdr:rowOff>114300</xdr:rowOff>
    </xdr:from>
    <xdr:to>
      <xdr:col>16</xdr:col>
      <xdr:colOff>218930</xdr:colOff>
      <xdr:row>4</xdr:row>
      <xdr:rowOff>145967</xdr:rowOff>
    </xdr:to>
    <xdr:pic macro="[0]!CreaPDF">
      <xdr:nvPicPr>
        <xdr:cNvPr id="4" name="Picture 3">
          <a:extLst>
            <a:ext uri="{FF2B5EF4-FFF2-40B4-BE49-F238E27FC236}">
              <a16:creationId xmlns:a16="http://schemas.microsoft.com/office/drawing/2014/main" id="{37F39C55-A5A3-4337-BD2D-07D805CE90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8191500" y="990600"/>
          <a:ext cx="476105" cy="612692"/>
        </a:xfrm>
        <a:prstGeom prst="snip2DiagRect">
          <a:avLst/>
        </a:prstGeom>
        <a:solidFill>
          <a:srgbClr val="FFFFFF">
            <a:shade val="85000"/>
          </a:srgbClr>
        </a:solidFill>
        <a:ln w="88900" cap="sq">
          <a:solidFill>
            <a:srgbClr val="FFFFFF"/>
          </a:solidFill>
          <a:miter lim="800000"/>
        </a:ln>
        <a:effectLst>
          <a:outerShdw blurRad="88900" algn="tl" rotWithShape="0">
            <a:srgbClr val="000000">
              <a:alpha val="45000"/>
            </a:srgbClr>
          </a:outerShdw>
        </a:effectLst>
        <a:scene3d>
          <a:camera prst="orthographicFront"/>
          <a:lightRig rig="twoPt" dir="t">
            <a:rot lat="0" lon="0" rev="7200000"/>
          </a:lightRig>
        </a:scene3d>
        <a:sp3d>
          <a:bevelT w="25400" h="19050"/>
          <a:contourClr>
            <a:srgbClr val="FFFFFF"/>
          </a:contourClr>
        </a:sp3d>
      </xdr:spPr>
    </xdr:pic>
    <xdr:clientData fPrintsWithSheet="0"/>
  </xdr:twoCellAnchor>
  <xdr:twoCellAnchor editAs="oneCell">
    <xdr:from>
      <xdr:col>15</xdr:col>
      <xdr:colOff>409576</xdr:colOff>
      <xdr:row>0</xdr:row>
      <xdr:rowOff>152400</xdr:rowOff>
    </xdr:from>
    <xdr:to>
      <xdr:col>16</xdr:col>
      <xdr:colOff>226233</xdr:colOff>
      <xdr:row>0</xdr:row>
      <xdr:rowOff>695325</xdr:rowOff>
    </xdr:to>
    <xdr:pic macro="[0]!GuardarComo">
      <xdr:nvPicPr>
        <xdr:cNvPr id="2" name="Picture 1">
          <a:extLst>
            <a:ext uri="{FF2B5EF4-FFF2-40B4-BE49-F238E27FC236}">
              <a16:creationId xmlns:a16="http://schemas.microsoft.com/office/drawing/2014/main" id="{9371077C-9F57-4B73-AC39-1A2E3DDDD1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8201026" y="152400"/>
          <a:ext cx="473882" cy="542925"/>
        </a:xfrm>
        <a:prstGeom prst="round2DiagRect">
          <a:avLst>
            <a:gd name="adj1" fmla="val 16667"/>
            <a:gd name="adj2" fmla="val 0"/>
          </a:avLst>
        </a:prstGeom>
        <a:ln w="88900" cap="sq">
          <a:solidFill>
            <a:srgbClr val="FFFFFF"/>
          </a:solidFill>
          <a:miter lim="800000"/>
        </a:ln>
        <a:effectLst>
          <a:outerShdw blurRad="254000" algn="tl" rotWithShape="0">
            <a:srgbClr val="000000">
              <a:alpha val="43000"/>
            </a:srgbClr>
          </a:outerShdw>
        </a:effectLst>
      </xdr:spPr>
    </xdr:pic>
    <xdr:clientData fPrintsWithSheet="0"/>
  </xdr:twoCellAnchor>
  <xdr:twoCellAnchor editAs="oneCell">
    <xdr:from>
      <xdr:col>11</xdr:col>
      <xdr:colOff>885826</xdr:colOff>
      <xdr:row>40</xdr:row>
      <xdr:rowOff>209550</xdr:rowOff>
    </xdr:from>
    <xdr:to>
      <xdr:col>12</xdr:col>
      <xdr:colOff>157164</xdr:colOff>
      <xdr:row>42</xdr:row>
      <xdr:rowOff>87630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44BC8A27-AF17-463F-8189-AA09E1F3D97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657976" y="8667750"/>
          <a:ext cx="261938" cy="2476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457200</xdr:colOff>
      <xdr:row>8</xdr:row>
      <xdr:rowOff>476250</xdr:rowOff>
    </xdr:from>
    <xdr:to>
      <xdr:col>6</xdr:col>
      <xdr:colOff>70555</xdr:colOff>
      <xdr:row>8</xdr:row>
      <xdr:rowOff>1238250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24FB74A6-E44D-4F22-BD96-379EBB0861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143625" y="2000250"/>
          <a:ext cx="832555" cy="762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R42"/>
  <sheetViews>
    <sheetView tabSelected="1" view="pageLayout" zoomScaleNormal="100" workbookViewId="0">
      <selection activeCell="H24" sqref="H24"/>
    </sheetView>
  </sheetViews>
  <sheetFormatPr defaultRowHeight="15" x14ac:dyDescent="0.25"/>
  <cols>
    <col min="1" max="1" width="2.85546875" customWidth="1"/>
    <col min="2" max="2" width="6.140625" customWidth="1"/>
    <col min="3" max="3" width="5.7109375" customWidth="1"/>
    <col min="4" max="4" width="6.5703125" customWidth="1"/>
    <col min="5" max="5" width="4" customWidth="1"/>
    <col min="6" max="6" width="10.7109375" customWidth="1"/>
    <col min="7" max="7" width="15.140625" customWidth="1"/>
    <col min="8" max="8" width="6.5703125" customWidth="1"/>
    <col min="9" max="9" width="5.28515625" customWidth="1"/>
    <col min="10" max="10" width="13" customWidth="1"/>
    <col min="11" max="11" width="4.28515625" customWidth="1"/>
    <col min="12" max="12" width="13.85546875" customWidth="1"/>
    <col min="13" max="13" width="5.140625" customWidth="1"/>
    <col min="14" max="14" width="0" hidden="1" customWidth="1"/>
  </cols>
  <sheetData>
    <row r="1" spans="1:18" ht="69" customHeight="1" thickBot="1" x14ac:dyDescent="0.3">
      <c r="A1" s="50"/>
      <c r="B1" s="50"/>
      <c r="C1" s="50"/>
      <c r="D1" s="50"/>
      <c r="E1" s="50"/>
      <c r="F1" s="50"/>
      <c r="G1" s="50"/>
      <c r="H1" s="50"/>
      <c r="I1" s="50"/>
      <c r="J1" s="50"/>
      <c r="K1" s="50"/>
      <c r="L1" s="50"/>
      <c r="M1" s="50"/>
    </row>
    <row r="2" spans="1:18" ht="15.75" customHeight="1" thickBot="1" x14ac:dyDescent="0.3">
      <c r="B2" s="67" t="s">
        <v>91</v>
      </c>
      <c r="C2" s="67"/>
      <c r="D2" s="67"/>
      <c r="E2" s="67"/>
      <c r="F2" s="41" t="s">
        <v>89</v>
      </c>
      <c r="G2" s="41"/>
      <c r="H2" s="41"/>
      <c r="I2" s="42"/>
      <c r="J2" s="58" t="s">
        <v>82</v>
      </c>
      <c r="K2" s="59"/>
      <c r="L2" s="60"/>
    </row>
    <row r="3" spans="1:18" ht="15" customHeight="1" x14ac:dyDescent="0.25">
      <c r="B3" s="67"/>
      <c r="C3" s="67"/>
      <c r="D3" s="67"/>
      <c r="E3" s="67"/>
      <c r="F3" s="41"/>
      <c r="G3" s="41"/>
      <c r="H3" s="41"/>
      <c r="I3" s="42"/>
      <c r="J3" s="26" t="s">
        <v>83</v>
      </c>
      <c r="K3" s="61">
        <v>25904</v>
      </c>
      <c r="L3" s="62"/>
      <c r="M3" s="24"/>
      <c r="R3" s="11"/>
    </row>
    <row r="4" spans="1:18" ht="15" customHeight="1" x14ac:dyDescent="0.25">
      <c r="B4" s="67"/>
      <c r="C4" s="67"/>
      <c r="D4" s="67"/>
      <c r="E4" s="67"/>
      <c r="F4" s="41"/>
      <c r="G4" s="41"/>
      <c r="H4" s="41"/>
      <c r="I4" s="42"/>
      <c r="J4" s="27" t="s">
        <v>84</v>
      </c>
      <c r="K4" s="63">
        <v>45670</v>
      </c>
      <c r="L4" s="64"/>
      <c r="M4" s="24"/>
    </row>
    <row r="5" spans="1:18" ht="15.75" customHeight="1" thickBot="1" x14ac:dyDescent="0.3">
      <c r="B5" s="67"/>
      <c r="C5" s="67"/>
      <c r="D5" s="67"/>
      <c r="E5" s="67"/>
      <c r="F5" s="41"/>
      <c r="G5" s="41"/>
      <c r="H5" s="41"/>
      <c r="I5" s="42"/>
      <c r="J5" s="28" t="s">
        <v>85</v>
      </c>
      <c r="K5" s="65" t="s">
        <v>95</v>
      </c>
      <c r="L5" s="66"/>
      <c r="M5" s="24"/>
    </row>
    <row r="6" spans="1:18" ht="15" customHeight="1" x14ac:dyDescent="0.25">
      <c r="B6" s="67"/>
      <c r="C6" s="67"/>
      <c r="D6" s="67"/>
      <c r="E6" s="67"/>
      <c r="F6" s="41" t="s">
        <v>90</v>
      </c>
      <c r="G6" s="41"/>
      <c r="H6" s="41"/>
      <c r="I6" s="41"/>
      <c r="J6" s="29"/>
      <c r="K6" s="29"/>
      <c r="L6" s="29"/>
      <c r="M6" s="24"/>
    </row>
    <row r="7" spans="1:18" ht="15" customHeight="1" x14ac:dyDescent="0.25">
      <c r="B7" s="67"/>
      <c r="C7" s="67"/>
      <c r="D7" s="67"/>
      <c r="E7" s="67"/>
      <c r="F7" s="41"/>
      <c r="G7" s="41"/>
      <c r="H7" s="41"/>
      <c r="I7" s="41"/>
      <c r="J7" s="29"/>
      <c r="K7" s="29"/>
      <c r="L7" s="29"/>
    </row>
    <row r="8" spans="1:18" ht="8.25" customHeight="1" x14ac:dyDescent="0.25">
      <c r="B8" s="67"/>
      <c r="C8" s="67"/>
      <c r="D8" s="67"/>
      <c r="E8" s="67"/>
      <c r="F8" s="41"/>
      <c r="G8" s="41"/>
      <c r="H8" s="41"/>
      <c r="I8" s="41"/>
      <c r="J8" s="29"/>
      <c r="K8" s="29"/>
      <c r="L8" s="29"/>
    </row>
    <row r="9" spans="1:18" ht="15.75" customHeight="1" x14ac:dyDescent="0.25">
      <c r="B9" s="67"/>
      <c r="C9" s="67"/>
      <c r="D9" s="67"/>
      <c r="E9" s="67"/>
      <c r="F9" s="41"/>
      <c r="G9" s="41"/>
      <c r="H9" s="41"/>
      <c r="I9" s="41"/>
      <c r="J9" s="29"/>
      <c r="K9" s="29"/>
      <c r="L9" s="29"/>
      <c r="M9" s="25"/>
    </row>
    <row r="10" spans="1:18" ht="15" customHeight="1" x14ac:dyDescent="0.25">
      <c r="B10" s="67"/>
      <c r="C10" s="67"/>
      <c r="D10" s="67"/>
      <c r="E10" s="67"/>
      <c r="F10" s="41"/>
      <c r="G10" s="41"/>
      <c r="H10" s="41"/>
      <c r="I10" s="41"/>
      <c r="J10" s="29"/>
      <c r="K10" s="29"/>
      <c r="L10" s="29"/>
      <c r="M10" s="15"/>
    </row>
    <row r="11" spans="1:18" ht="6.75" customHeight="1" x14ac:dyDescent="0.25">
      <c r="B11" s="67"/>
      <c r="C11" s="67"/>
      <c r="D11" s="67"/>
      <c r="E11" s="67"/>
      <c r="F11" s="41"/>
      <c r="G11" s="41"/>
      <c r="H11" s="41"/>
      <c r="I11" s="41"/>
      <c r="J11" s="29"/>
      <c r="K11" s="29"/>
      <c r="L11" s="29"/>
    </row>
    <row r="12" spans="1:18" ht="17.25" customHeight="1" x14ac:dyDescent="0.25">
      <c r="B12" s="67"/>
      <c r="C12" s="67"/>
      <c r="D12" s="67"/>
      <c r="E12" s="67"/>
      <c r="F12" s="36"/>
      <c r="G12" s="36"/>
      <c r="H12" s="36"/>
      <c r="I12" s="36"/>
      <c r="J12" s="36"/>
      <c r="K12" s="36"/>
      <c r="L12" s="36"/>
    </row>
    <row r="13" spans="1:18" ht="7.5" customHeight="1" x14ac:dyDescent="0.25"/>
    <row r="14" spans="1:18" ht="15.75" x14ac:dyDescent="0.25">
      <c r="B14" s="69" t="s">
        <v>79</v>
      </c>
      <c r="C14" s="69"/>
      <c r="D14" s="69"/>
      <c r="E14" s="69"/>
      <c r="F14" s="69"/>
      <c r="G14" s="69"/>
      <c r="H14" s="69" t="s">
        <v>2</v>
      </c>
      <c r="I14" s="69"/>
      <c r="J14" s="69" t="s">
        <v>1</v>
      </c>
      <c r="K14" s="69"/>
      <c r="L14" s="69" t="s">
        <v>0</v>
      </c>
      <c r="M14" s="69"/>
    </row>
    <row r="15" spans="1:18" ht="15" customHeight="1" x14ac:dyDescent="0.25">
      <c r="B15" s="39" t="s">
        <v>96</v>
      </c>
      <c r="C15" s="39"/>
      <c r="D15" s="39"/>
      <c r="E15" s="39"/>
      <c r="F15" s="39"/>
      <c r="G15" s="40"/>
      <c r="H15" s="12">
        <v>5</v>
      </c>
      <c r="I15" s="13" t="s">
        <v>65</v>
      </c>
      <c r="J15" s="14">
        <v>16.739999999999998</v>
      </c>
      <c r="K15" s="15" t="s">
        <v>75</v>
      </c>
      <c r="L15" s="8">
        <f>IF(H15="","",(J15*H15))</f>
        <v>83.699999999999989</v>
      </c>
      <c r="M15" t="str">
        <f>IF(K15="","",K15)</f>
        <v>Dlls</v>
      </c>
    </row>
    <row r="16" spans="1:18" ht="14.45" customHeight="1" x14ac:dyDescent="0.25">
      <c r="B16" s="39" t="s">
        <v>97</v>
      </c>
      <c r="C16" s="39"/>
      <c r="D16" s="39"/>
      <c r="E16" s="39"/>
      <c r="F16" s="39"/>
      <c r="G16" s="40"/>
      <c r="H16" s="12"/>
      <c r="I16" s="13"/>
      <c r="J16" s="14"/>
      <c r="K16" s="15"/>
      <c r="L16" s="8" t="str">
        <f t="shared" ref="L16:L32" si="0">IF(H16="","",(J16*H16))</f>
        <v/>
      </c>
      <c r="M16" t="str">
        <f t="shared" ref="M16:M32" si="1">IF(K16="","",K16)</f>
        <v/>
      </c>
    </row>
    <row r="17" spans="2:13" ht="14.45" customHeight="1" x14ac:dyDescent="0.25">
      <c r="B17" s="73"/>
      <c r="C17" s="73"/>
      <c r="D17" s="73"/>
      <c r="E17" s="73"/>
      <c r="F17" s="73"/>
      <c r="G17" s="74"/>
      <c r="H17" s="12"/>
      <c r="I17" s="13"/>
      <c r="J17" s="14"/>
      <c r="K17" s="15"/>
      <c r="L17" s="8" t="str">
        <f t="shared" si="0"/>
        <v/>
      </c>
      <c r="M17" t="str">
        <f t="shared" si="1"/>
        <v/>
      </c>
    </row>
    <row r="18" spans="2:13" x14ac:dyDescent="0.25">
      <c r="B18" s="73"/>
      <c r="C18" s="73"/>
      <c r="D18" s="73"/>
      <c r="E18" s="73"/>
      <c r="F18" s="73"/>
      <c r="G18" s="74"/>
      <c r="H18" s="12"/>
      <c r="I18" s="13"/>
      <c r="J18" s="14"/>
      <c r="K18" s="15"/>
      <c r="L18" s="8" t="str">
        <f t="shared" si="0"/>
        <v/>
      </c>
      <c r="M18" t="str">
        <f t="shared" si="1"/>
        <v/>
      </c>
    </row>
    <row r="19" spans="2:13" ht="14.45" customHeight="1" x14ac:dyDescent="0.25">
      <c r="B19" s="43"/>
      <c r="C19" s="43"/>
      <c r="D19" s="43"/>
      <c r="E19" s="43"/>
      <c r="F19" s="43"/>
      <c r="G19" s="44"/>
      <c r="H19" s="12"/>
      <c r="I19" s="13"/>
      <c r="J19" s="14"/>
      <c r="K19" s="15"/>
      <c r="L19" s="8" t="str">
        <f t="shared" si="0"/>
        <v/>
      </c>
      <c r="M19" t="str">
        <f t="shared" si="1"/>
        <v/>
      </c>
    </row>
    <row r="20" spans="2:13" ht="14.45" customHeight="1" x14ac:dyDescent="0.25">
      <c r="B20" s="43"/>
      <c r="C20" s="43"/>
      <c r="D20" s="43"/>
      <c r="E20" s="43"/>
      <c r="F20" s="43"/>
      <c r="G20" s="44"/>
      <c r="H20" s="12"/>
      <c r="I20" s="13"/>
      <c r="J20" s="14"/>
      <c r="K20" s="15"/>
      <c r="L20" s="8" t="str">
        <f t="shared" si="0"/>
        <v/>
      </c>
      <c r="M20" t="str">
        <f t="shared" si="1"/>
        <v/>
      </c>
    </row>
    <row r="21" spans="2:13" x14ac:dyDescent="0.25">
      <c r="B21" s="46"/>
      <c r="C21" s="46"/>
      <c r="D21" s="46"/>
      <c r="E21" s="46"/>
      <c r="F21" s="46"/>
      <c r="G21" s="47"/>
      <c r="H21" s="12"/>
      <c r="I21" s="13"/>
      <c r="J21" s="14"/>
      <c r="K21" s="15"/>
      <c r="L21" s="8" t="str">
        <f t="shared" si="0"/>
        <v/>
      </c>
      <c r="M21" t="str">
        <f t="shared" si="1"/>
        <v/>
      </c>
    </row>
    <row r="22" spans="2:13" x14ac:dyDescent="0.25">
      <c r="B22" s="48"/>
      <c r="C22" s="48"/>
      <c r="D22" s="48"/>
      <c r="E22" s="48"/>
      <c r="F22" s="48"/>
      <c r="G22" s="49"/>
      <c r="H22" s="12"/>
      <c r="I22" s="13"/>
      <c r="J22" s="14"/>
      <c r="K22" s="15"/>
      <c r="L22" s="8" t="str">
        <f t="shared" si="0"/>
        <v/>
      </c>
      <c r="M22" t="str">
        <f t="shared" si="1"/>
        <v/>
      </c>
    </row>
    <row r="23" spans="2:13" x14ac:dyDescent="0.25">
      <c r="B23" s="54"/>
      <c r="C23" s="54"/>
      <c r="D23" s="54"/>
      <c r="E23" s="54"/>
      <c r="F23" s="54"/>
      <c r="G23" s="55"/>
      <c r="H23" s="12"/>
      <c r="I23" s="13"/>
      <c r="J23" s="14"/>
      <c r="K23" s="15"/>
      <c r="L23" s="8" t="str">
        <f t="shared" si="0"/>
        <v/>
      </c>
      <c r="M23" t="str">
        <f t="shared" si="1"/>
        <v/>
      </c>
    </row>
    <row r="24" spans="2:13" x14ac:dyDescent="0.25">
      <c r="B24" s="54"/>
      <c r="C24" s="54"/>
      <c r="D24" s="54"/>
      <c r="E24" s="54"/>
      <c r="F24" s="54"/>
      <c r="G24" s="55"/>
      <c r="H24" s="12"/>
      <c r="I24" s="13"/>
      <c r="J24" s="14"/>
      <c r="K24" s="15"/>
      <c r="L24" s="8"/>
    </row>
    <row r="25" spans="2:13" x14ac:dyDescent="0.25">
      <c r="B25" s="54"/>
      <c r="C25" s="54"/>
      <c r="D25" s="54"/>
      <c r="E25" s="54"/>
      <c r="F25" s="54"/>
      <c r="G25" s="55"/>
      <c r="H25" s="12"/>
      <c r="I25" s="13"/>
      <c r="J25" s="14"/>
      <c r="K25" s="15"/>
      <c r="L25" s="8" t="str">
        <f t="shared" si="0"/>
        <v/>
      </c>
      <c r="M25" t="str">
        <f t="shared" si="1"/>
        <v/>
      </c>
    </row>
    <row r="26" spans="2:13" x14ac:dyDescent="0.25">
      <c r="B26" s="54"/>
      <c r="C26" s="54"/>
      <c r="D26" s="54"/>
      <c r="E26" s="54"/>
      <c r="F26" s="54"/>
      <c r="G26" s="55"/>
      <c r="H26" s="12"/>
      <c r="I26" s="13"/>
      <c r="J26" s="14"/>
      <c r="K26" s="15"/>
      <c r="L26" s="8" t="str">
        <f t="shared" si="0"/>
        <v/>
      </c>
      <c r="M26" t="str">
        <f t="shared" si="1"/>
        <v/>
      </c>
    </row>
    <row r="27" spans="2:13" x14ac:dyDescent="0.25">
      <c r="B27" s="54"/>
      <c r="C27" s="54"/>
      <c r="D27" s="54"/>
      <c r="E27" s="54"/>
      <c r="F27" s="54"/>
      <c r="G27" s="55"/>
      <c r="H27" s="12"/>
      <c r="I27" s="13"/>
      <c r="J27" s="14"/>
      <c r="K27" s="15"/>
      <c r="L27" s="8" t="str">
        <f t="shared" si="0"/>
        <v/>
      </c>
      <c r="M27" t="str">
        <f t="shared" si="1"/>
        <v/>
      </c>
    </row>
    <row r="28" spans="2:13" x14ac:dyDescent="0.25">
      <c r="B28" s="54"/>
      <c r="C28" s="54"/>
      <c r="D28" s="54"/>
      <c r="E28" s="54"/>
      <c r="F28" s="54"/>
      <c r="G28" s="55"/>
      <c r="H28" s="12"/>
      <c r="I28" s="13"/>
      <c r="J28" s="14"/>
      <c r="K28" s="15"/>
      <c r="L28" s="8"/>
    </row>
    <row r="29" spans="2:13" x14ac:dyDescent="0.25">
      <c r="B29" s="54"/>
      <c r="C29" s="54"/>
      <c r="D29" s="54"/>
      <c r="E29" s="54"/>
      <c r="F29" s="54"/>
      <c r="G29" s="55"/>
      <c r="H29" s="12"/>
      <c r="I29" s="13"/>
      <c r="J29" s="14"/>
      <c r="K29" s="15"/>
      <c r="L29" s="8" t="str">
        <f t="shared" si="0"/>
        <v/>
      </c>
      <c r="M29" t="str">
        <f t="shared" si="1"/>
        <v/>
      </c>
    </row>
    <row r="30" spans="2:13" x14ac:dyDescent="0.25">
      <c r="B30" s="54"/>
      <c r="C30" s="54"/>
      <c r="D30" s="54"/>
      <c r="E30" s="54"/>
      <c r="F30" s="54"/>
      <c r="G30" s="55"/>
      <c r="H30" s="12"/>
      <c r="I30" s="13"/>
      <c r="J30" s="14"/>
      <c r="K30" s="15"/>
      <c r="L30" s="8" t="str">
        <f t="shared" si="0"/>
        <v/>
      </c>
      <c r="M30" t="str">
        <f t="shared" si="1"/>
        <v/>
      </c>
    </row>
    <row r="31" spans="2:13" x14ac:dyDescent="0.25">
      <c r="B31" s="48"/>
      <c r="C31" s="48"/>
      <c r="D31" s="48"/>
      <c r="E31" s="48"/>
      <c r="F31" s="48"/>
      <c r="G31" s="49"/>
      <c r="H31" s="12"/>
      <c r="I31" s="13"/>
      <c r="J31" s="14"/>
      <c r="K31" s="15"/>
      <c r="L31" s="8"/>
    </row>
    <row r="32" spans="2:13" x14ac:dyDescent="0.25">
      <c r="B32" s="52"/>
      <c r="C32" s="52"/>
      <c r="D32" s="52"/>
      <c r="E32" s="52"/>
      <c r="F32" s="52"/>
      <c r="G32" s="53"/>
      <c r="H32" s="17"/>
      <c r="I32" s="22"/>
      <c r="J32" s="18"/>
      <c r="K32" s="16"/>
      <c r="L32" s="10" t="str">
        <f t="shared" si="0"/>
        <v/>
      </c>
      <c r="M32" s="9" t="str">
        <f t="shared" si="1"/>
        <v/>
      </c>
    </row>
    <row r="33" spans="2:13" x14ac:dyDescent="0.25">
      <c r="B33" s="23"/>
      <c r="C33" s="23"/>
      <c r="D33" s="23"/>
      <c r="E33" s="23"/>
      <c r="F33" s="23"/>
      <c r="G33" s="23"/>
      <c r="H33" s="30"/>
      <c r="I33" s="23"/>
      <c r="J33" s="31"/>
      <c r="K33" s="15"/>
      <c r="L33" s="32"/>
    </row>
    <row r="34" spans="2:13" ht="18.75" x14ac:dyDescent="0.3">
      <c r="B34" s="19" t="s">
        <v>71</v>
      </c>
      <c r="C34" s="6"/>
      <c r="D34" s="7"/>
      <c r="E34" s="23"/>
      <c r="F34" s="45" t="s">
        <v>98</v>
      </c>
      <c r="G34" s="45"/>
      <c r="H34" s="45"/>
      <c r="I34" s="45"/>
      <c r="J34" s="34" t="s">
        <v>87</v>
      </c>
      <c r="K34" s="33"/>
      <c r="L34" s="35">
        <f>SUM(L15:L32)</f>
        <v>83.699999999999989</v>
      </c>
      <c r="M34" s="38" t="s">
        <v>99</v>
      </c>
    </row>
    <row r="35" spans="2:13" ht="15" customHeight="1" x14ac:dyDescent="0.3">
      <c r="B35" s="57"/>
      <c r="C35" s="57"/>
      <c r="D35" s="57"/>
      <c r="E35" s="57"/>
      <c r="F35" s="57"/>
      <c r="G35" s="23"/>
      <c r="H35" s="30"/>
      <c r="I35" s="23"/>
      <c r="J35" s="34" t="s">
        <v>94</v>
      </c>
      <c r="K35" s="33"/>
      <c r="L35" s="35"/>
      <c r="M35" s="38"/>
    </row>
    <row r="36" spans="2:13" ht="18.75" x14ac:dyDescent="0.3">
      <c r="B36" s="56"/>
      <c r="C36" s="56"/>
      <c r="D36" s="56"/>
      <c r="E36" s="56"/>
      <c r="F36" s="56"/>
      <c r="G36" s="56"/>
      <c r="H36" s="56"/>
      <c r="I36" s="56"/>
      <c r="J36" s="34" t="s">
        <v>92</v>
      </c>
      <c r="L36" s="35">
        <f>(L34+L35)*0.16</f>
        <v>13.391999999999998</v>
      </c>
      <c r="M36" s="38"/>
    </row>
    <row r="37" spans="2:13" ht="20.25" customHeight="1" thickBot="1" x14ac:dyDescent="0.35">
      <c r="B37" s="71"/>
      <c r="C37" s="72"/>
      <c r="D37" s="72"/>
      <c r="E37" s="72"/>
      <c r="F37" s="72"/>
      <c r="G37" s="72"/>
      <c r="H37" s="72"/>
      <c r="I37" s="72"/>
      <c r="J37" s="34" t="s">
        <v>86</v>
      </c>
      <c r="K37" s="33"/>
      <c r="L37" s="37">
        <f>L34+L35+L36</f>
        <v>97.091999999999985</v>
      </c>
      <c r="M37" s="38" t="s">
        <v>75</v>
      </c>
    </row>
    <row r="38" spans="2:13" ht="5.25" customHeight="1" thickTop="1" x14ac:dyDescent="0.25">
      <c r="G38" s="70"/>
      <c r="H38" s="70"/>
      <c r="I38" s="70"/>
      <c r="J38" s="70"/>
      <c r="K38" s="70"/>
      <c r="L38" s="70"/>
      <c r="M38" s="70"/>
    </row>
    <row r="39" spans="2:13" ht="0.75" customHeight="1" x14ac:dyDescent="0.25"/>
    <row r="40" spans="2:13" ht="8.25" customHeight="1" x14ac:dyDescent="0.25">
      <c r="B40" s="51"/>
      <c r="C40" s="51"/>
      <c r="D40" s="51"/>
      <c r="E40" s="51"/>
      <c r="F40" s="51"/>
      <c r="G40" s="51"/>
      <c r="H40" s="51"/>
      <c r="I40" s="51"/>
      <c r="J40" s="51"/>
      <c r="K40" s="51"/>
      <c r="L40" s="51"/>
      <c r="M40" s="51"/>
    </row>
    <row r="41" spans="2:13" ht="12.6" customHeight="1" x14ac:dyDescent="0.25">
      <c r="B41" s="51"/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</row>
    <row r="42" spans="2:13" ht="12" customHeight="1" x14ac:dyDescent="0.25">
      <c r="B42" s="68" t="s">
        <v>81</v>
      </c>
      <c r="C42" s="68"/>
      <c r="D42" s="68"/>
      <c r="E42" s="68"/>
      <c r="F42" s="68"/>
      <c r="G42" s="68"/>
      <c r="H42" s="68"/>
      <c r="I42" s="68"/>
      <c r="J42" s="68"/>
      <c r="K42" s="68"/>
      <c r="L42" s="68"/>
      <c r="M42" s="68"/>
    </row>
  </sheetData>
  <sheetProtection formatCells="0" formatColumns="0" formatRows="0" selectLockedCells="1"/>
  <mergeCells count="35">
    <mergeCell ref="B42:M42"/>
    <mergeCell ref="L14:M14"/>
    <mergeCell ref="B25:G25"/>
    <mergeCell ref="B26:G26"/>
    <mergeCell ref="B27:G27"/>
    <mergeCell ref="B31:G31"/>
    <mergeCell ref="B14:G14"/>
    <mergeCell ref="J14:K14"/>
    <mergeCell ref="H14:I14"/>
    <mergeCell ref="G38:M38"/>
    <mergeCell ref="B28:G28"/>
    <mergeCell ref="B37:I37"/>
    <mergeCell ref="B17:G18"/>
    <mergeCell ref="A1:M1"/>
    <mergeCell ref="B40:M41"/>
    <mergeCell ref="B32:G32"/>
    <mergeCell ref="B29:G29"/>
    <mergeCell ref="B30:G30"/>
    <mergeCell ref="B36:I36"/>
    <mergeCell ref="B35:F35"/>
    <mergeCell ref="B24:G24"/>
    <mergeCell ref="J2:L2"/>
    <mergeCell ref="K3:L3"/>
    <mergeCell ref="K4:L4"/>
    <mergeCell ref="K5:L5"/>
    <mergeCell ref="B15:G15"/>
    <mergeCell ref="F6:I11"/>
    <mergeCell ref="B23:G23"/>
    <mergeCell ref="B2:E12"/>
    <mergeCell ref="B16:G16"/>
    <mergeCell ref="F2:I5"/>
    <mergeCell ref="B19:G20"/>
    <mergeCell ref="F34:I34"/>
    <mergeCell ref="B21:G21"/>
    <mergeCell ref="B22:G22"/>
  </mergeCells>
  <phoneticPr fontId="18" type="noConversion"/>
  <pageMargins left="0.25" right="0.25" top="0.75" bottom="0.75" header="0" footer="0.3"/>
  <pageSetup orientation="portrait" r:id="rId1"/>
  <headerFooter>
    <oddHeader>&amp;C&amp;"-,Bold"&amp;12&amp;K00-006
&amp;U___________________________________________________________________________________</oddHeader>
    <oddFooter xml:space="preserve">&amp;C&amp;"-,Bold"&amp;12&amp;K00-037___________________________________________________________________________________
Lázaro Cárdenas #4559 Col. Gabriel Rodríguez. Tijuana, B.C. Tel: (664) 661 7251  
Email: contacto@idmingenieria.com </oddFooter>
  </headerFooter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000-000001000000}">
          <x14:formula1>
            <xm:f>Sheet3!$C$6:$C$10</xm:f>
          </x14:formula1>
          <xm:sqref>I35 I15:I33</xm:sqref>
        </x14:dataValidation>
        <x14:dataValidation type="list" allowBlank="1" showInputMessage="1" showErrorMessage="1" xr:uid="{00000000-0002-0000-0000-000002000000}">
          <x14:formula1>
            <xm:f>Sheet3!$E$6:$E$8</xm:f>
          </x14:formula1>
          <xm:sqref>K15:K33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5:F11"/>
  <sheetViews>
    <sheetView workbookViewId="0">
      <selection activeCell="C15" sqref="C15"/>
    </sheetView>
  </sheetViews>
  <sheetFormatPr defaultRowHeight="15" x14ac:dyDescent="0.25"/>
  <cols>
    <col min="1" max="1" width="19" bestFit="1" customWidth="1"/>
    <col min="3" max="3" width="17.5703125" customWidth="1"/>
    <col min="5" max="5" width="26.85546875" customWidth="1"/>
    <col min="6" max="6" width="46.28515625" customWidth="1"/>
  </cols>
  <sheetData>
    <row r="5" spans="1:6" x14ac:dyDescent="0.25">
      <c r="A5" t="s">
        <v>73</v>
      </c>
      <c r="C5" t="s">
        <v>63</v>
      </c>
      <c r="E5" t="s">
        <v>68</v>
      </c>
      <c r="F5" t="s">
        <v>74</v>
      </c>
    </row>
    <row r="6" spans="1:6" x14ac:dyDescent="0.25">
      <c r="C6" t="s">
        <v>64</v>
      </c>
      <c r="E6" t="s">
        <v>76</v>
      </c>
      <c r="F6" s="1" t="s">
        <v>80</v>
      </c>
    </row>
    <row r="7" spans="1:6" x14ac:dyDescent="0.25">
      <c r="A7" t="s">
        <v>72</v>
      </c>
      <c r="C7" t="s">
        <v>65</v>
      </c>
      <c r="E7" t="s">
        <v>75</v>
      </c>
      <c r="F7" s="1" t="s">
        <v>69</v>
      </c>
    </row>
    <row r="8" spans="1:6" x14ac:dyDescent="0.25">
      <c r="C8" t="s">
        <v>66</v>
      </c>
      <c r="F8" s="1" t="s">
        <v>70</v>
      </c>
    </row>
    <row r="9" spans="1:6" x14ac:dyDescent="0.25">
      <c r="C9" t="s">
        <v>67</v>
      </c>
    </row>
    <row r="10" spans="1:6" x14ac:dyDescent="0.25">
      <c r="C10" t="s">
        <v>93</v>
      </c>
    </row>
    <row r="11" spans="1:6" x14ac:dyDescent="0.25">
      <c r="C11" t="s">
        <v>88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B6:K81"/>
  <sheetViews>
    <sheetView workbookViewId="0">
      <selection activeCell="K9" sqref="K9"/>
    </sheetView>
  </sheetViews>
  <sheetFormatPr defaultRowHeight="15" x14ac:dyDescent="0.25"/>
  <cols>
    <col min="3" max="3" width="57.85546875" customWidth="1"/>
    <col min="8" max="8" width="40.28515625" customWidth="1"/>
  </cols>
  <sheetData>
    <row r="6" spans="2:11" x14ac:dyDescent="0.25">
      <c r="B6" s="2"/>
      <c r="C6" s="3" t="s">
        <v>3</v>
      </c>
    </row>
    <row r="7" spans="2:11" x14ac:dyDescent="0.25">
      <c r="B7" s="2"/>
      <c r="C7" s="3" t="s">
        <v>4</v>
      </c>
    </row>
    <row r="8" spans="2:11" x14ac:dyDescent="0.25">
      <c r="B8" s="2"/>
      <c r="C8" s="3" t="s">
        <v>5</v>
      </c>
    </row>
    <row r="9" spans="2:11" ht="141" customHeight="1" x14ac:dyDescent="0.25">
      <c r="B9" s="2"/>
      <c r="C9" s="3" t="s">
        <v>6</v>
      </c>
      <c r="H9" s="20" t="s">
        <v>77</v>
      </c>
      <c r="K9" s="21" t="s">
        <v>78</v>
      </c>
    </row>
    <row r="10" spans="2:11" x14ac:dyDescent="0.25">
      <c r="B10" s="2"/>
      <c r="C10" s="4"/>
    </row>
    <row r="11" spans="2:11" x14ac:dyDescent="0.25">
      <c r="B11" s="2"/>
      <c r="C11" s="5" t="s">
        <v>7</v>
      </c>
    </row>
    <row r="12" spans="2:11" x14ac:dyDescent="0.25">
      <c r="B12" s="2"/>
      <c r="C12" s="5" t="s">
        <v>8</v>
      </c>
    </row>
    <row r="13" spans="2:11" x14ac:dyDescent="0.25">
      <c r="B13" s="2"/>
      <c r="C13" s="3" t="s">
        <v>9</v>
      </c>
    </row>
    <row r="14" spans="2:11" x14ac:dyDescent="0.25">
      <c r="B14" s="2"/>
      <c r="C14" s="4" t="s">
        <v>10</v>
      </c>
    </row>
    <row r="15" spans="2:11" x14ac:dyDescent="0.25">
      <c r="B15" s="2"/>
      <c r="C15" s="4" t="s">
        <v>11</v>
      </c>
    </row>
    <row r="16" spans="2:11" x14ac:dyDescent="0.25">
      <c r="B16" s="2"/>
      <c r="C16" s="3" t="s">
        <v>12</v>
      </c>
    </row>
    <row r="17" spans="2:3" x14ac:dyDescent="0.25">
      <c r="B17" s="2"/>
      <c r="C17" s="4"/>
    </row>
    <row r="18" spans="2:3" ht="30" x14ac:dyDescent="0.25">
      <c r="B18" s="2"/>
      <c r="C18" s="5" t="s">
        <v>13</v>
      </c>
    </row>
    <row r="19" spans="2:3" ht="30" x14ac:dyDescent="0.25">
      <c r="B19" s="2"/>
      <c r="C19" s="5" t="s">
        <v>14</v>
      </c>
    </row>
    <row r="20" spans="2:3" x14ac:dyDescent="0.25">
      <c r="B20" s="2"/>
      <c r="C20" s="4" t="s">
        <v>15</v>
      </c>
    </row>
    <row r="21" spans="2:3" x14ac:dyDescent="0.25">
      <c r="B21" s="2"/>
      <c r="C21" s="4"/>
    </row>
    <row r="22" spans="2:3" x14ac:dyDescent="0.25">
      <c r="B22" s="2"/>
      <c r="C22" s="5" t="s">
        <v>16</v>
      </c>
    </row>
    <row r="23" spans="2:3" ht="30" x14ac:dyDescent="0.25">
      <c r="B23" s="2"/>
      <c r="C23" s="4" t="s">
        <v>17</v>
      </c>
    </row>
    <row r="24" spans="2:3" x14ac:dyDescent="0.25">
      <c r="B24" s="2"/>
      <c r="C24" s="4"/>
    </row>
    <row r="25" spans="2:3" ht="30" x14ac:dyDescent="0.25">
      <c r="B25" s="2"/>
      <c r="C25" s="5" t="s">
        <v>18</v>
      </c>
    </row>
    <row r="26" spans="2:3" ht="30" x14ac:dyDescent="0.25">
      <c r="B26" s="2"/>
      <c r="C26" s="4" t="s">
        <v>19</v>
      </c>
    </row>
    <row r="27" spans="2:3" x14ac:dyDescent="0.25">
      <c r="B27" s="2"/>
      <c r="C27" s="4"/>
    </row>
    <row r="28" spans="2:3" ht="30" x14ac:dyDescent="0.25">
      <c r="B28" s="2"/>
      <c r="C28" s="5" t="s">
        <v>20</v>
      </c>
    </row>
    <row r="29" spans="2:3" x14ac:dyDescent="0.25">
      <c r="B29" s="2"/>
      <c r="C29" s="5" t="s">
        <v>21</v>
      </c>
    </row>
    <row r="30" spans="2:3" x14ac:dyDescent="0.25">
      <c r="B30" s="2"/>
      <c r="C30" s="3" t="s">
        <v>22</v>
      </c>
    </row>
    <row r="31" spans="2:3" x14ac:dyDescent="0.25">
      <c r="B31" s="2"/>
      <c r="C31" s="4" t="s">
        <v>23</v>
      </c>
    </row>
    <row r="32" spans="2:3" x14ac:dyDescent="0.25">
      <c r="B32" s="2"/>
      <c r="C32" s="4" t="s">
        <v>24</v>
      </c>
    </row>
    <row r="33" spans="2:3" x14ac:dyDescent="0.25">
      <c r="B33" s="2"/>
      <c r="C33" s="4" t="s">
        <v>25</v>
      </c>
    </row>
    <row r="34" spans="2:3" x14ac:dyDescent="0.25">
      <c r="B34" s="2"/>
      <c r="C34" s="4" t="s">
        <v>26</v>
      </c>
    </row>
    <row r="35" spans="2:3" x14ac:dyDescent="0.25">
      <c r="B35" s="2"/>
      <c r="C35" s="4" t="s">
        <v>27</v>
      </c>
    </row>
    <row r="36" spans="2:3" x14ac:dyDescent="0.25">
      <c r="B36" s="2"/>
      <c r="C36" s="4" t="s">
        <v>28</v>
      </c>
    </row>
    <row r="37" spans="2:3" x14ac:dyDescent="0.25">
      <c r="B37" s="2"/>
      <c r="C37" s="4" t="s">
        <v>29</v>
      </c>
    </row>
    <row r="38" spans="2:3" x14ac:dyDescent="0.25">
      <c r="B38" s="2"/>
      <c r="C38" s="4"/>
    </row>
    <row r="39" spans="2:3" x14ac:dyDescent="0.25">
      <c r="B39" s="2"/>
      <c r="C39" s="5" t="s">
        <v>30</v>
      </c>
    </row>
    <row r="40" spans="2:3" x14ac:dyDescent="0.25">
      <c r="B40" s="2"/>
      <c r="C40" s="3" t="s">
        <v>31</v>
      </c>
    </row>
    <row r="41" spans="2:3" x14ac:dyDescent="0.25">
      <c r="B41" s="2"/>
      <c r="C41" s="5" t="s">
        <v>32</v>
      </c>
    </row>
    <row r="42" spans="2:3" x14ac:dyDescent="0.25">
      <c r="B42" s="2"/>
      <c r="C42" s="3" t="s">
        <v>33</v>
      </c>
    </row>
    <row r="43" spans="2:3" x14ac:dyDescent="0.25">
      <c r="B43" s="2"/>
      <c r="C43" s="4"/>
    </row>
    <row r="44" spans="2:3" ht="30" x14ac:dyDescent="0.25">
      <c r="B44" s="2"/>
      <c r="C44" s="3" t="s">
        <v>34</v>
      </c>
    </row>
    <row r="45" spans="2:3" x14ac:dyDescent="0.25">
      <c r="B45" s="2"/>
      <c r="C45" s="5" t="s">
        <v>35</v>
      </c>
    </row>
    <row r="46" spans="2:3" x14ac:dyDescent="0.25">
      <c r="B46" s="2"/>
      <c r="C46" s="3" t="s">
        <v>36</v>
      </c>
    </row>
    <row r="47" spans="2:3" x14ac:dyDescent="0.25">
      <c r="B47" s="2"/>
      <c r="C47" s="3" t="s">
        <v>37</v>
      </c>
    </row>
    <row r="48" spans="2:3" ht="30" x14ac:dyDescent="0.25">
      <c r="B48" s="2"/>
      <c r="C48" s="4" t="s">
        <v>38</v>
      </c>
    </row>
    <row r="49" spans="2:3" ht="30" x14ac:dyDescent="0.25">
      <c r="B49" s="2"/>
      <c r="C49" s="4" t="s">
        <v>39</v>
      </c>
    </row>
    <row r="50" spans="2:3" ht="30" x14ac:dyDescent="0.25">
      <c r="B50" s="2"/>
      <c r="C50" s="4" t="s">
        <v>40</v>
      </c>
    </row>
    <row r="51" spans="2:3" ht="30" x14ac:dyDescent="0.25">
      <c r="B51" s="2"/>
      <c r="C51" s="4" t="s">
        <v>41</v>
      </c>
    </row>
    <row r="52" spans="2:3" ht="30" x14ac:dyDescent="0.25">
      <c r="B52" s="2"/>
      <c r="C52" s="4" t="s">
        <v>42</v>
      </c>
    </row>
    <row r="53" spans="2:3" ht="30" x14ac:dyDescent="0.25">
      <c r="B53" s="2"/>
      <c r="C53" s="4" t="s">
        <v>43</v>
      </c>
    </row>
    <row r="54" spans="2:3" x14ac:dyDescent="0.25">
      <c r="B54" s="2"/>
      <c r="C54" s="4" t="s">
        <v>44</v>
      </c>
    </row>
    <row r="55" spans="2:3" ht="30" x14ac:dyDescent="0.25">
      <c r="B55" s="2"/>
      <c r="C55" s="4" t="s">
        <v>45</v>
      </c>
    </row>
    <row r="56" spans="2:3" x14ac:dyDescent="0.25">
      <c r="B56" s="2"/>
      <c r="C56" s="4" t="s">
        <v>46</v>
      </c>
    </row>
    <row r="57" spans="2:3" x14ac:dyDescent="0.25">
      <c r="B57" s="2"/>
      <c r="C57" s="3" t="s">
        <v>12</v>
      </c>
    </row>
    <row r="58" spans="2:3" x14ac:dyDescent="0.25">
      <c r="B58" s="2"/>
      <c r="C58" s="3" t="s">
        <v>47</v>
      </c>
    </row>
    <row r="59" spans="2:3" x14ac:dyDescent="0.25">
      <c r="B59" s="2"/>
      <c r="C59" s="4"/>
    </row>
    <row r="60" spans="2:3" ht="30" x14ac:dyDescent="0.25">
      <c r="B60" s="2"/>
      <c r="C60" s="5" t="s">
        <v>48</v>
      </c>
    </row>
    <row r="61" spans="2:3" ht="30" x14ac:dyDescent="0.25">
      <c r="B61" s="2"/>
      <c r="C61" s="5" t="s">
        <v>49</v>
      </c>
    </row>
    <row r="62" spans="2:3" x14ac:dyDescent="0.25">
      <c r="B62" s="2"/>
      <c r="C62" s="4" t="s">
        <v>50</v>
      </c>
    </row>
    <row r="63" spans="2:3" x14ac:dyDescent="0.25">
      <c r="B63" s="2"/>
      <c r="C63" s="4"/>
    </row>
    <row r="64" spans="2:3" x14ac:dyDescent="0.25">
      <c r="B64" s="2"/>
      <c r="C64" s="5" t="s">
        <v>51</v>
      </c>
    </row>
    <row r="65" spans="2:3" x14ac:dyDescent="0.25">
      <c r="B65" s="2"/>
      <c r="C65" s="3" t="s">
        <v>52</v>
      </c>
    </row>
    <row r="66" spans="2:3" x14ac:dyDescent="0.25">
      <c r="B66" s="2"/>
      <c r="C66" s="3" t="s">
        <v>53</v>
      </c>
    </row>
    <row r="67" spans="2:3" x14ac:dyDescent="0.25">
      <c r="B67" s="2"/>
      <c r="C67" s="4"/>
    </row>
    <row r="68" spans="2:3" x14ac:dyDescent="0.25">
      <c r="B68" s="2"/>
      <c r="C68" s="5" t="s">
        <v>54</v>
      </c>
    </row>
    <row r="69" spans="2:3" x14ac:dyDescent="0.25">
      <c r="B69" s="2"/>
      <c r="C69" s="5" t="s">
        <v>55</v>
      </c>
    </row>
    <row r="70" spans="2:3" x14ac:dyDescent="0.25">
      <c r="B70" s="2"/>
      <c r="C70" s="3" t="s">
        <v>9</v>
      </c>
    </row>
    <row r="71" spans="2:3" x14ac:dyDescent="0.25">
      <c r="B71" s="2"/>
      <c r="C71" s="4" t="s">
        <v>56</v>
      </c>
    </row>
    <row r="72" spans="2:3" x14ac:dyDescent="0.25">
      <c r="B72" s="2"/>
      <c r="C72" s="4" t="s">
        <v>57</v>
      </c>
    </row>
    <row r="73" spans="2:3" x14ac:dyDescent="0.25">
      <c r="B73" s="2"/>
      <c r="C73" s="3" t="s">
        <v>12</v>
      </c>
    </row>
    <row r="74" spans="2:3" x14ac:dyDescent="0.25">
      <c r="B74" s="2"/>
      <c r="C74" s="4"/>
    </row>
    <row r="75" spans="2:3" x14ac:dyDescent="0.25">
      <c r="B75" s="2"/>
      <c r="C75" s="3" t="s">
        <v>58</v>
      </c>
    </row>
    <row r="76" spans="2:3" x14ac:dyDescent="0.25">
      <c r="B76" s="2"/>
      <c r="C76" s="4"/>
    </row>
    <row r="77" spans="2:3" ht="30" x14ac:dyDescent="0.25">
      <c r="B77" s="2"/>
      <c r="C77" s="5" t="s">
        <v>59</v>
      </c>
    </row>
    <row r="78" spans="2:3" x14ac:dyDescent="0.25">
      <c r="B78" s="2"/>
      <c r="C78" s="4" t="s">
        <v>60</v>
      </c>
    </row>
    <row r="79" spans="2:3" x14ac:dyDescent="0.25">
      <c r="B79" s="2"/>
      <c r="C79" s="4" t="s">
        <v>61</v>
      </c>
    </row>
    <row r="80" spans="2:3" x14ac:dyDescent="0.25">
      <c r="B80" s="2"/>
      <c r="C80" s="4"/>
    </row>
    <row r="81" spans="2:3" x14ac:dyDescent="0.25">
      <c r="B81" s="2"/>
      <c r="C81" s="3" t="s">
        <v>62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Cotizacion</vt:lpstr>
      <vt:lpstr>Sheet3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Omar Guerrero Cuautle</dc:creator>
  <cp:lastModifiedBy>IDM Ingenieria</cp:lastModifiedBy>
  <cp:lastPrinted>2024-01-30T01:15:48Z</cp:lastPrinted>
  <dcterms:created xsi:type="dcterms:W3CDTF">2017-12-22T20:34:59Z</dcterms:created>
  <dcterms:modified xsi:type="dcterms:W3CDTF">2025-01-13T19:00:44Z</dcterms:modified>
</cp:coreProperties>
</file>