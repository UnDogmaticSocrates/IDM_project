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DESKTOP-GVOEM3B\taller\1 IDM\1 IDM 2024\1 COTIZACIONES 2024\"/>
    </mc:Choice>
  </mc:AlternateContent>
  <xr:revisionPtr revIDLastSave="0" documentId="13_ncr:1_{E9C25BF4-88D8-45A2-A83B-4843A1D0ADA5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Cotización" sheetId="1" r:id="rId1"/>
    <sheet name="Tabla de Costos" sheetId="4" r:id="rId2"/>
    <sheet name="Costos Maquinado" sheetId="5" r:id="rId3"/>
    <sheet name="Sheet3" sheetId="3" r:id="rId4"/>
    <sheet name="Sheet2" sheetId="2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29" i="5" l="1"/>
  <c r="O16" i="5"/>
  <c r="Q16" i="5" s="1"/>
  <c r="O18" i="5"/>
  <c r="Q18" i="5" s="1"/>
  <c r="O17" i="5"/>
  <c r="Q17" i="5" s="1"/>
  <c r="O15" i="5"/>
  <c r="Q15" i="5" s="1"/>
  <c r="O20" i="5"/>
  <c r="Q20" i="5" s="1"/>
  <c r="O14" i="5"/>
  <c r="Q14" i="5" s="1"/>
  <c r="O21" i="5"/>
  <c r="Q21" i="5" s="1"/>
  <c r="O22" i="5"/>
  <c r="Q22" i="5" s="1"/>
  <c r="O23" i="5"/>
  <c r="Q23" i="5" s="1"/>
  <c r="O26" i="5"/>
  <c r="Q26" i="5" s="1"/>
  <c r="U7" i="5"/>
  <c r="L27" i="1"/>
  <c r="M27" i="1"/>
  <c r="M15" i="1"/>
  <c r="M16" i="1"/>
  <c r="M17" i="1"/>
  <c r="M18" i="1"/>
  <c r="M19" i="1"/>
  <c r="M20" i="1"/>
  <c r="M21" i="1"/>
  <c r="M22" i="1"/>
  <c r="M23" i="1"/>
  <c r="M24" i="1"/>
  <c r="M25" i="1"/>
  <c r="M26" i="1"/>
  <c r="M28" i="1"/>
  <c r="M29" i="1"/>
  <c r="M30" i="1"/>
  <c r="M31" i="1"/>
  <c r="M32" i="1"/>
  <c r="M34" i="1"/>
  <c r="M35" i="1"/>
  <c r="L15" i="1"/>
  <c r="L16" i="1"/>
  <c r="L17" i="1"/>
  <c r="L18" i="1"/>
  <c r="L19" i="1"/>
  <c r="L20" i="1"/>
  <c r="L21" i="1"/>
  <c r="L22" i="1"/>
  <c r="L23" i="1"/>
  <c r="L24" i="1"/>
  <c r="L25" i="1"/>
  <c r="L26" i="1"/>
  <c r="L28" i="1"/>
  <c r="L29" i="1"/>
  <c r="L30" i="1"/>
  <c r="L31" i="1"/>
  <c r="L32" i="1"/>
  <c r="L34" i="1"/>
  <c r="L35" i="1"/>
  <c r="X28" i="5"/>
  <c r="O28" i="5"/>
  <c r="Q28" i="5" s="1"/>
  <c r="X27" i="5"/>
  <c r="O27" i="5"/>
  <c r="Q27" i="5" s="1"/>
  <c r="X25" i="5"/>
  <c r="O25" i="5"/>
  <c r="Q25" i="5" s="1"/>
  <c r="X24" i="5"/>
  <c r="O24" i="5"/>
  <c r="Q24" i="5" s="1"/>
  <c r="T24" i="5" s="1"/>
  <c r="X19" i="5"/>
  <c r="O19" i="5"/>
  <c r="Q19" i="5" s="1"/>
  <c r="R19" i="5" s="1"/>
  <c r="U19" i="5" s="1"/>
  <c r="X13" i="5"/>
  <c r="O13" i="5"/>
  <c r="Q13" i="5" s="1"/>
  <c r="X12" i="5"/>
  <c r="O12" i="5"/>
  <c r="Q12" i="5" s="1"/>
  <c r="X11" i="5"/>
  <c r="O11" i="5"/>
  <c r="Q11" i="5" s="1"/>
  <c r="X10" i="5"/>
  <c r="O10" i="5"/>
  <c r="Q10" i="5" s="1"/>
  <c r="X9" i="5"/>
  <c r="O9" i="5"/>
  <c r="Q9" i="5" s="1"/>
  <c r="O8" i="5"/>
  <c r="Q8" i="5" s="1"/>
  <c r="E56" i="4"/>
  <c r="E55" i="4"/>
  <c r="E54" i="4"/>
  <c r="E53" i="4"/>
  <c r="E52" i="4"/>
  <c r="E44" i="4"/>
  <c r="E43" i="4"/>
  <c r="E42" i="4"/>
  <c r="E41" i="4"/>
  <c r="E40" i="4"/>
  <c r="E39" i="4"/>
  <c r="E38" i="4"/>
  <c r="E32" i="4"/>
  <c r="E31" i="4"/>
  <c r="E30" i="4"/>
  <c r="E29" i="4"/>
  <c r="E28" i="4"/>
  <c r="E27" i="4"/>
  <c r="E26" i="4"/>
  <c r="E25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R16" i="5" l="1"/>
  <c r="U16" i="5" s="1"/>
  <c r="T16" i="5"/>
  <c r="R18" i="5"/>
  <c r="U18" i="5" s="1"/>
  <c r="T18" i="5"/>
  <c r="R15" i="5"/>
  <c r="U15" i="5" s="1"/>
  <c r="T15" i="5"/>
  <c r="R17" i="5"/>
  <c r="U17" i="5" s="1"/>
  <c r="T17" i="5"/>
  <c r="R20" i="5"/>
  <c r="U20" i="5" s="1"/>
  <c r="T20" i="5"/>
  <c r="R14" i="5"/>
  <c r="U14" i="5" s="1"/>
  <c r="T14" i="5"/>
  <c r="R21" i="5"/>
  <c r="U21" i="5" s="1"/>
  <c r="T21" i="5"/>
  <c r="R22" i="5"/>
  <c r="U22" i="5" s="1"/>
  <c r="T22" i="5"/>
  <c r="R23" i="5"/>
  <c r="U23" i="5" s="1"/>
  <c r="T23" i="5"/>
  <c r="R26" i="5"/>
  <c r="U26" i="5" s="1"/>
  <c r="T26" i="5"/>
  <c r="T9" i="5"/>
  <c r="R9" i="5"/>
  <c r="U9" i="5" s="1"/>
  <c r="T27" i="5"/>
  <c r="R27" i="5"/>
  <c r="U27" i="5" s="1"/>
  <c r="T8" i="5"/>
  <c r="R8" i="5"/>
  <c r="T28" i="5"/>
  <c r="R28" i="5"/>
  <c r="U28" i="5" s="1"/>
  <c r="T10" i="5"/>
  <c r="R10" i="5"/>
  <c r="U10" i="5" s="1"/>
  <c r="R11" i="5"/>
  <c r="U11" i="5" s="1"/>
  <c r="T11" i="5"/>
  <c r="R12" i="5"/>
  <c r="U12" i="5" s="1"/>
  <c r="T12" i="5"/>
  <c r="T13" i="5"/>
  <c r="R13" i="5"/>
  <c r="U13" i="5" s="1"/>
  <c r="T25" i="5"/>
  <c r="R25" i="5"/>
  <c r="U25" i="5" s="1"/>
  <c r="T19" i="5"/>
  <c r="R24" i="5"/>
  <c r="U24" i="5" s="1"/>
  <c r="E33" i="4"/>
  <c r="E76" i="4" s="1"/>
  <c r="E45" i="4"/>
  <c r="E77" i="4" s="1"/>
  <c r="E57" i="4"/>
  <c r="E78" i="4" s="1"/>
  <c r="E20" i="4"/>
  <c r="E21" i="4" s="1"/>
  <c r="L14" i="1"/>
  <c r="U8" i="5" l="1"/>
  <c r="R29" i="5"/>
  <c r="I74" i="4"/>
  <c r="E61" i="4"/>
  <c r="E75" i="4"/>
  <c r="E81" i="4" s="1"/>
  <c r="E82" i="4" s="1"/>
  <c r="M14" i="1"/>
  <c r="E83" i="4" l="1"/>
  <c r="E87" i="4" s="1"/>
</calcChain>
</file>

<file path=xl/sharedStrings.xml><?xml version="1.0" encoding="utf-8"?>
<sst xmlns="http://schemas.openxmlformats.org/spreadsheetml/2006/main" count="166" uniqueCount="141">
  <si>
    <t>Fecha:</t>
  </si>
  <si>
    <t>Ciudad:</t>
  </si>
  <si>
    <t>Nombre:</t>
  </si>
  <si>
    <t>Importe</t>
  </si>
  <si>
    <t>Precio Unitario</t>
  </si>
  <si>
    <t>Cantidad</t>
  </si>
  <si>
    <r>
      <t>Sub</t>
    </r>
    <r>
      <rPr>
        <sz val="11"/>
        <color rgb="FF000000"/>
        <rFont val="Consolas"/>
        <family val="3"/>
      </rPr>
      <t> EnvioEmail_HojaActiva_comoPDF()</t>
    </r>
  </si>
  <si>
    <r>
      <t>Dim</t>
    </r>
    <r>
      <rPr>
        <sz val="11"/>
        <color rgb="FF000000"/>
        <rFont val="Consolas"/>
        <family val="3"/>
      </rPr>
      <t> olApp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Object</t>
    </r>
  </si>
  <si>
    <r>
      <t>Dim</t>
    </r>
    <r>
      <rPr>
        <sz val="11"/>
        <color rgb="FF000000"/>
        <rFont val="Consolas"/>
        <family val="3"/>
      </rPr>
      <t> olMail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Object</t>
    </r>
  </si>
  <si>
    <r>
      <t>Dim</t>
    </r>
    <r>
      <rPr>
        <sz val="11"/>
        <color rgb="FF000000"/>
        <rFont val="Consolas"/>
        <family val="3"/>
      </rPr>
      <t> RutaTemporal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String</t>
    </r>
    <r>
      <rPr>
        <sz val="11"/>
        <color rgb="FF000000"/>
        <rFont val="Consolas"/>
        <family val="3"/>
      </rPr>
      <t>, NombreFicheroTemporal 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String</t>
    </r>
    <r>
      <rPr>
        <sz val="11"/>
        <color rgb="FF000000"/>
        <rFont val="Consolas"/>
        <family val="3"/>
      </rPr>
      <t>, RutaCompleta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String</t>
    </r>
  </si>
  <si>
    <t>'deshabilitamos el refresco de pantalla</t>
  </si>
  <si>
    <t>'y muy importante los eventos!</t>
  </si>
  <si>
    <r>
      <t>With</t>
    </r>
    <r>
      <rPr>
        <sz val="11"/>
        <color rgb="FF000000"/>
        <rFont val="Consolas"/>
        <family val="3"/>
      </rPr>
      <t> Application</t>
    </r>
  </si>
  <si>
    <r>
      <t>    .ScreenUpdating = </t>
    </r>
    <r>
      <rPr>
        <b/>
        <sz val="11"/>
        <color rgb="FF006699"/>
        <rFont val="Consolas"/>
        <family val="3"/>
      </rPr>
      <t>False</t>
    </r>
  </si>
  <si>
    <r>
      <t>    .EnableEvents = </t>
    </r>
    <r>
      <rPr>
        <b/>
        <sz val="11"/>
        <color rgb="FF006699"/>
        <rFont val="Consolas"/>
        <family val="3"/>
      </rPr>
      <t>False</t>
    </r>
  </si>
  <si>
    <r>
      <t>End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With</t>
    </r>
  </si>
  <si>
    <t>'Definimos una variable que será la Ruta donde guardaremos,</t>
  </si>
  <si>
    <t>'antes de enviar como adjunto, el pdf que generaremos...</t>
  </si>
  <si>
    <r>
      <t>RutaTemporal = Environ$(</t>
    </r>
    <r>
      <rPr>
        <sz val="11"/>
        <color rgb="FF0000FF"/>
        <rFont val="Consolas"/>
        <family val="3"/>
      </rPr>
      <t>"temp"</t>
    </r>
    <r>
      <rPr>
        <sz val="11"/>
        <color rgb="FF000000"/>
        <rFont val="Consolas"/>
        <family val="3"/>
      </rPr>
      <t>) &amp; "\"</t>
    </r>
  </si>
  <si>
    <t>'Generamos el nombre del fichero temporal .Pdf</t>
  </si>
  <si>
    <r>
      <t>NombreFicheroTemporal = ActiveSheet.Name &amp; </t>
    </r>
    <r>
      <rPr>
        <sz val="11"/>
        <color rgb="FF0000FF"/>
        <rFont val="Consolas"/>
        <family val="3"/>
      </rPr>
      <t>".pdf"</t>
    </r>
  </si>
  <si>
    <t>'Combinando las dos variables anteriores, tendremos la Ruta Completa de nuestro .pdf</t>
  </si>
  <si>
    <t>RutaCompleta = RutaTemporal &amp; NombreFicheroTemporal</t>
  </si>
  <si>
    <t>'Depuramos posibles errores a la hora de Exportar</t>
  </si>
  <si>
    <t>' a la ruta anterior, la hoja activa como PDF</t>
  </si>
  <si>
    <r>
      <t>On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Error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GoTo</t>
    </r>
    <r>
      <rPr>
        <sz val="11"/>
        <color rgb="FF000000"/>
        <rFont val="Consolas"/>
        <family val="3"/>
      </rPr>
      <t> err</t>
    </r>
  </si>
  <si>
    <t>ActiveSheet.ExportAsFixedFormat _</t>
  </si>
  <si>
    <t>        Type:=xlTypePDF, _</t>
  </si>
  <si>
    <t>        Filename:=RutaCompleta, _</t>
  </si>
  <si>
    <t>        Quality:=xlQualityStandard, _</t>
  </si>
  <si>
    <r>
      <t>        IncludeDocProperties:=</t>
    </r>
    <r>
      <rPr>
        <b/>
        <sz val="11"/>
        <color rgb="FF006699"/>
        <rFont val="Consolas"/>
        <family val="3"/>
      </rPr>
      <t>True</t>
    </r>
    <r>
      <rPr>
        <sz val="11"/>
        <color rgb="FF000000"/>
        <rFont val="Consolas"/>
        <family val="3"/>
      </rPr>
      <t>, _</t>
    </r>
  </si>
  <si>
    <r>
      <t>        IgnorePrintAreas:=</t>
    </r>
    <r>
      <rPr>
        <b/>
        <sz val="11"/>
        <color rgb="FF006699"/>
        <rFont val="Consolas"/>
        <family val="3"/>
      </rPr>
      <t>False</t>
    </r>
    <r>
      <rPr>
        <sz val="11"/>
        <color rgb="FF000000"/>
        <rFont val="Consolas"/>
        <family val="3"/>
      </rPr>
      <t>, _</t>
    </r>
  </si>
  <si>
    <r>
      <t>        OpenAfterPublish:=</t>
    </r>
    <r>
      <rPr>
        <b/>
        <sz val="11"/>
        <color rgb="FF006699"/>
        <rFont val="Consolas"/>
        <family val="3"/>
      </rPr>
      <t>False</t>
    </r>
  </si>
  <si>
    <t>'LLega el momento de abrir la aplicación Outlook</t>
  </si>
  <si>
    <r>
      <t>Set</t>
    </r>
    <r>
      <rPr>
        <sz val="11"/>
        <color rgb="FF000000"/>
        <rFont val="Consolas"/>
        <family val="3"/>
      </rPr>
      <t> olApp = CreateObject(</t>
    </r>
    <r>
      <rPr>
        <sz val="11"/>
        <color rgb="FF0000FF"/>
        <rFont val="Consolas"/>
        <family val="3"/>
      </rPr>
      <t>"Outlook.Application"</t>
    </r>
    <r>
      <rPr>
        <sz val="11"/>
        <color rgb="FF000000"/>
        <rFont val="Consolas"/>
        <family val="3"/>
      </rPr>
      <t>)</t>
    </r>
  </si>
  <si>
    <t>'y generar un nuevo email a enviar...</t>
  </si>
  <si>
    <r>
      <t>Set</t>
    </r>
    <r>
      <rPr>
        <sz val="11"/>
        <color rgb="FF000000"/>
        <rFont val="Consolas"/>
        <family val="3"/>
      </rPr>
      <t> olMail = olApp.CreateItem(0)</t>
    </r>
  </si>
  <si>
    <r>
      <t>Dim</t>
    </r>
    <r>
      <rPr>
        <sz val="11"/>
        <color rgb="FF000000"/>
        <rFont val="Consolas"/>
        <family val="3"/>
      </rPr>
      <t> destinatario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String</t>
    </r>
    <r>
      <rPr>
        <sz val="11"/>
        <color rgb="FF000000"/>
        <rFont val="Consolas"/>
        <family val="3"/>
      </rPr>
      <t>, Asunto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String</t>
    </r>
    <r>
      <rPr>
        <sz val="11"/>
        <color rgb="FF000000"/>
        <rFont val="Consolas"/>
        <family val="3"/>
      </rPr>
      <t>, Cuerpo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String</t>
    </r>
  </si>
  <si>
    <t>'FALTA ASIGNAR VALORES A ESTAS VARIABLES!!!</t>
  </si>
  <si>
    <r>
      <t>On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Error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Resume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Next</t>
    </r>
  </si>
  <si>
    <r>
      <t>With</t>
    </r>
    <r>
      <rPr>
        <sz val="11"/>
        <color rgb="FF000000"/>
        <rFont val="Consolas"/>
        <family val="3"/>
      </rPr>
      <t> olMail</t>
    </r>
  </si>
  <si>
    <r>
      <t>    .to = destinatario          </t>
    </r>
    <r>
      <rPr>
        <sz val="11"/>
        <color rgb="FF008200"/>
        <rFont val="Consolas"/>
        <family val="3"/>
      </rPr>
      <t>'añadimos el destinatario, el Para...</t>
    </r>
  </si>
  <si>
    <r>
      <t>    </t>
    </r>
    <r>
      <rPr>
        <sz val="11"/>
        <color rgb="FF008200"/>
        <rFont val="Consolas"/>
        <family val="3"/>
      </rPr>
      <t>'.CC = destinatario         'para adjuntar destinatario en Con Copia a...</t>
    </r>
  </si>
  <si>
    <r>
      <t>    </t>
    </r>
    <r>
      <rPr>
        <sz val="11"/>
        <color rgb="FF008200"/>
        <rFont val="Consolas"/>
        <family val="3"/>
      </rPr>
      <t>'.BCC = destinatario        'para adjuntar destinatario en Con Copia Oculta a...</t>
    </r>
  </si>
  <si>
    <r>
      <t>    .Subject = Asunto        </t>
    </r>
    <r>
      <rPr>
        <sz val="11"/>
        <color rgb="FF008200"/>
        <rFont val="Consolas"/>
        <family val="3"/>
      </rPr>
      <t>'indicaríamos el Asunto</t>
    </r>
  </si>
  <si>
    <r>
      <t>    .Body = Cuerpo           </t>
    </r>
    <r>
      <rPr>
        <sz val="11"/>
        <color rgb="FF008200"/>
        <rFont val="Consolas"/>
        <family val="3"/>
      </rPr>
      <t>'indicaríamos el Cuerpo del email</t>
    </r>
  </si>
  <si>
    <r>
      <t>    </t>
    </r>
    <r>
      <rPr>
        <sz val="11"/>
        <color rgb="FF008200"/>
        <rFont val="Consolas"/>
        <family val="3"/>
      </rPr>
      <t>'adjuntamos el fichero pdf desde la ruta donde la guardamos</t>
    </r>
  </si>
  <si>
    <t>    .Attachments.Add RutaCompleta</t>
  </si>
  <si>
    <r>
      <t>    .Display    </t>
    </r>
    <r>
      <rPr>
        <sz val="11"/>
        <color rgb="FF008200"/>
        <rFont val="Consolas"/>
        <family val="3"/>
      </rPr>
      <t>'o bien usaremos .Send para enviar directamente...</t>
    </r>
  </si>
  <si>
    <r>
      <t>    </t>
    </r>
    <r>
      <rPr>
        <sz val="11"/>
        <color rgb="FF008200"/>
        <rFont val="Consolas"/>
        <family val="3"/>
      </rPr>
      <t>'.Send</t>
    </r>
  </si>
  <si>
    <r>
      <t>On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Error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GoTo</t>
    </r>
    <r>
      <rPr>
        <sz val="11"/>
        <color rgb="FF000000"/>
        <rFont val="Consolas"/>
        <family val="3"/>
      </rPr>
      <t> 0</t>
    </r>
  </si>
  <si>
    <t>'Ya que el email ha sido enviado (o mostrado) con el pdf adjuntado</t>
  </si>
  <si>
    <t>'podemos borrar el pdf que habíamos guardado (en la carpeta temporal)...</t>
  </si>
  <si>
    <t>Kill RutaCompleta</t>
  </si>
  <si>
    <t>'limpiamos las variables creadas.</t>
  </si>
  <si>
    <r>
      <t>Set</t>
    </r>
    <r>
      <rPr>
        <sz val="11"/>
        <color rgb="FF000000"/>
        <rFont val="Consolas"/>
        <family val="3"/>
      </rPr>
      <t> olMail = </t>
    </r>
    <r>
      <rPr>
        <b/>
        <sz val="11"/>
        <color rgb="FF006699"/>
        <rFont val="Consolas"/>
        <family val="3"/>
      </rPr>
      <t>Nothing</t>
    </r>
  </si>
  <si>
    <r>
      <t>Set</t>
    </r>
    <r>
      <rPr>
        <sz val="11"/>
        <color rgb="FF000000"/>
        <rFont val="Consolas"/>
        <family val="3"/>
      </rPr>
      <t> olApp = </t>
    </r>
    <r>
      <rPr>
        <b/>
        <sz val="11"/>
        <color rgb="FF006699"/>
        <rFont val="Consolas"/>
        <family val="3"/>
      </rPr>
      <t>Nothing</t>
    </r>
  </si>
  <si>
    <t>'Reestablecemos las condiciones prevías</t>
  </si>
  <si>
    <t>'refresco de pantalla y activamos loe eventos</t>
  </si>
  <si>
    <r>
      <t>    .ScreenUpdating = </t>
    </r>
    <r>
      <rPr>
        <b/>
        <sz val="11"/>
        <color rgb="FF006699"/>
        <rFont val="Consolas"/>
        <family val="3"/>
      </rPr>
      <t>True</t>
    </r>
  </si>
  <si>
    <r>
      <t>    .EnableEvents = </t>
    </r>
    <r>
      <rPr>
        <b/>
        <sz val="11"/>
        <color rgb="FF006699"/>
        <rFont val="Consolas"/>
        <family val="3"/>
      </rPr>
      <t>True</t>
    </r>
  </si>
  <si>
    <r>
      <t>Exit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Sub</t>
    </r>
  </si>
  <si>
    <t>'para el control de errores en caso de exportación como Pdf...</t>
  </si>
  <si>
    <t>err:</t>
  </si>
  <si>
    <t>    MsgBox err.Description</t>
  </si>
  <si>
    <r>
      <t>End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Sub</t>
    </r>
  </si>
  <si>
    <t>Unidad de Medida</t>
  </si>
  <si>
    <t>Pza</t>
  </si>
  <si>
    <t>Pzas</t>
  </si>
  <si>
    <t>Set</t>
  </si>
  <si>
    <t>CD</t>
  </si>
  <si>
    <t>Sets</t>
  </si>
  <si>
    <t>Moneda</t>
  </si>
  <si>
    <t>Tiempo de Entrega:</t>
  </si>
  <si>
    <t>$</t>
  </si>
  <si>
    <t>Simbolo de Moneda</t>
  </si>
  <si>
    <t>Moneda IVA</t>
  </si>
  <si>
    <t>Dlls</t>
  </si>
  <si>
    <t>MN</t>
  </si>
  <si>
    <t>Evite Imprimir este documento si no es necesario. De esta manera Ahorra Recursos. 
Cuidamos EL medio ambiente</t>
  </si>
  <si>
    <t>Esterline Advanced Sensors Mexico S. de R.L. de C.V.</t>
  </si>
  <si>
    <t>Lázaro Cárdenas #4559
Col. Gabriel Rodríguez
Tijuana B.C.</t>
  </si>
  <si>
    <t>Descripción</t>
  </si>
  <si>
    <t>días hábiles a partir de su orden de compra por escrito.</t>
  </si>
  <si>
    <t>Seleccionar Tipo de Moneda</t>
  </si>
  <si>
    <t>Verifique que la cotización corresponda a lo solicitado.
Agradeciendo su preferencia, quedamos a sus ordenes</t>
  </si>
  <si>
    <t>Evite imprimir este documento si no es necesario, de esta manera ahorra recursos. Cuidemos el Medio ambiente.</t>
  </si>
  <si>
    <t>En atención a:</t>
  </si>
  <si>
    <t>No. Cotización:</t>
  </si>
  <si>
    <t>Sistema Mecanico</t>
  </si>
  <si>
    <t>Total</t>
  </si>
  <si>
    <t>Ensamble</t>
  </si>
  <si>
    <t>Sistema Neumatico</t>
  </si>
  <si>
    <t>Mesa, estación</t>
  </si>
  <si>
    <t>Mano de Obra</t>
  </si>
  <si>
    <t>Qty Hrs</t>
  </si>
  <si>
    <t>Costo Hr</t>
  </si>
  <si>
    <t>Diseño</t>
  </si>
  <si>
    <t xml:space="preserve">Ajuste Mecanico </t>
  </si>
  <si>
    <t>Visitas</t>
  </si>
  <si>
    <t>Total Costos</t>
  </si>
  <si>
    <t>Costo</t>
  </si>
  <si>
    <t>Estación</t>
  </si>
  <si>
    <t>Diseño/Ensamble</t>
  </si>
  <si>
    <t>Gran Total</t>
  </si>
  <si>
    <t>T. C.</t>
  </si>
  <si>
    <t>Gran Total en Pesos</t>
  </si>
  <si>
    <t>Error 30%</t>
  </si>
  <si>
    <t>Convencional</t>
  </si>
  <si>
    <t>Costo Hr CNC/EDM</t>
  </si>
  <si>
    <t>TC</t>
  </si>
  <si>
    <t>Espesor</t>
  </si>
  <si>
    <t>Ancho</t>
  </si>
  <si>
    <t>Largo</t>
  </si>
  <si>
    <t>Cot</t>
  </si>
  <si>
    <t>Name</t>
  </si>
  <si>
    <t>No Parte.</t>
  </si>
  <si>
    <t>Material</t>
  </si>
  <si>
    <t>Dimensiones Material</t>
  </si>
  <si>
    <t>Costo Material</t>
  </si>
  <si>
    <t>Programación</t>
  </si>
  <si>
    <t>CNC</t>
  </si>
  <si>
    <t>EDM</t>
  </si>
  <si>
    <t>Tratamiento</t>
  </si>
  <si>
    <t>P. Unit (30%)</t>
  </si>
  <si>
    <t>Moneda nacional</t>
  </si>
  <si>
    <t>En atención a su Solicitud ponemos a su consideración la siguiente cotización por los servicios requeridos.</t>
  </si>
  <si>
    <t>Dirección:</t>
  </si>
  <si>
    <t>Column1</t>
  </si>
  <si>
    <t>Column2</t>
  </si>
  <si>
    <t>Total sin 30%</t>
  </si>
  <si>
    <t>Column5</t>
  </si>
  <si>
    <t>-</t>
  </si>
  <si>
    <t>Column4</t>
  </si>
  <si>
    <t>Vigencia de cotización 30 días</t>
  </si>
  <si>
    <t>Tijuana, B.C.</t>
  </si>
  <si>
    <t>Estos precios son en Moneda Nacional Mas IVA 8%</t>
  </si>
  <si>
    <t>Tiempo de entrega puede variar al momento de recibir la PO.</t>
  </si>
  <si>
    <t>Esta cotización ha sido calculada en base al total de partes solicitadas, en caso de requerir una cantidad menor, favor de solicitar actualización.</t>
  </si>
  <si>
    <t>Estos Precios son en Dólares mas IVA 8%</t>
  </si>
  <si>
    <t>Fechas Cotización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</si>
</sst>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1540A]dd\-mmm\-yy;@"/>
    <numFmt numFmtId="165" formatCode="0.000"/>
    <numFmt numFmtId="166" formatCode="0.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sz val="11"/>
      <color rgb="FF000000"/>
      <name val="Consolas"/>
      <family val="3"/>
    </font>
    <font>
      <sz val="11"/>
      <color rgb="FFAFAFAF"/>
      <name val="Consolas"/>
      <family val="3"/>
    </font>
    <font>
      <b/>
      <sz val="11"/>
      <color rgb="FF006699"/>
      <name val="Consolas"/>
      <family val="3"/>
    </font>
    <font>
      <sz val="11"/>
      <color rgb="FF008200"/>
      <name val="Consolas"/>
      <family val="3"/>
    </font>
    <font>
      <sz val="11"/>
      <color rgb="FF0000FF"/>
      <name val="Consolas"/>
      <family val="3"/>
    </font>
    <font>
      <b/>
      <sz val="14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  <font>
      <sz val="14"/>
      <color theme="4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2" tint="-0.249977111117893"/>
      <name val="Calibri"/>
      <family val="2"/>
      <scheme val="minor"/>
    </font>
    <font>
      <sz val="9"/>
      <color theme="0" tint="-0.249977111117893"/>
      <name val="Calibri"/>
      <family val="2"/>
      <scheme val="minor"/>
    </font>
    <font>
      <b/>
      <sz val="11"/>
      <color theme="4" tint="-0.249977111117893"/>
      <name val="Bahnschrift Light"/>
      <family val="2"/>
    </font>
    <font>
      <b/>
      <sz val="11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9"/>
      <color rgb="FFFF0000"/>
      <name val="Calibri"/>
      <family val="2"/>
      <scheme val="minor"/>
    </font>
    <font>
      <i/>
      <sz val="11"/>
      <color theme="4" tint="-0.249977111117893"/>
      <name val="Calibri"/>
      <family val="2"/>
      <scheme val="minor"/>
    </font>
    <font>
      <b/>
      <sz val="9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i/>
      <sz val="10"/>
      <color theme="4" tint="-0.249977111117893"/>
      <name val="Calibri"/>
      <family val="2"/>
      <scheme val="minor"/>
    </font>
    <font>
      <b/>
      <sz val="9.1999999999999993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 style="thick">
        <color rgb="FF6CE26C"/>
      </left>
      <right/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 style="hair">
        <color auto="1"/>
      </top>
      <bottom/>
      <diagonal/>
    </border>
  </borders>
  <cellStyleXfs count="1">
    <xf numFmtId="0" fontId="0" fillId="0" borderId="0"/>
  </cellStyleXfs>
  <cellXfs count="97">
    <xf numFmtId="0" fontId="0" fillId="0" borderId="0" xfId="0"/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/>
    <xf numFmtId="0" fontId="2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5" fillId="0" borderId="0" xfId="0" applyFont="1" applyAlignment="1">
      <alignment horizontal="left" vertical="top" wrapText="1"/>
    </xf>
    <xf numFmtId="0" fontId="6" fillId="0" borderId="1" xfId="0" applyFont="1" applyBorder="1" applyAlignment="1">
      <alignment horizontal="left" vertical="top" wrapText="1"/>
    </xf>
    <xf numFmtId="0" fontId="4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 wrapText="1"/>
    </xf>
    <xf numFmtId="44" fontId="0" fillId="0" borderId="2" xfId="0" applyNumberFormat="1" applyBorder="1"/>
    <xf numFmtId="12" fontId="0" fillId="0" borderId="0" xfId="0" applyNumberFormat="1"/>
    <xf numFmtId="0" fontId="0" fillId="0" borderId="2" xfId="0" applyBorder="1" applyAlignment="1" applyProtection="1">
      <alignment horizontal="right"/>
      <protection locked="0"/>
    </xf>
    <xf numFmtId="0" fontId="0" fillId="0" borderId="3" xfId="0" applyBorder="1" applyAlignment="1" applyProtection="1">
      <alignment horizontal="left"/>
      <protection locked="0"/>
    </xf>
    <xf numFmtId="44" fontId="0" fillId="0" borderId="2" xfId="0" applyNumberFormat="1" applyBorder="1" applyProtection="1">
      <protection locked="0"/>
    </xf>
    <xf numFmtId="0" fontId="0" fillId="0" borderId="0" xfId="0" applyProtection="1">
      <protection locked="0"/>
    </xf>
    <xf numFmtId="0" fontId="11" fillId="0" borderId="0" xfId="0" applyFont="1" applyAlignment="1">
      <alignment horizontal="left"/>
    </xf>
    <xf numFmtId="0" fontId="0" fillId="0" borderId="0" xfId="0" applyAlignment="1">
      <alignment wrapText="1"/>
    </xf>
    <xf numFmtId="0" fontId="13" fillId="0" borderId="0" xfId="0" applyFont="1"/>
    <xf numFmtId="0" fontId="0" fillId="0" borderId="0" xfId="0" applyAlignment="1" applyProtection="1">
      <alignment horizontal="center"/>
      <protection locked="0"/>
    </xf>
    <xf numFmtId="0" fontId="16" fillId="0" borderId="0" xfId="0" applyFont="1"/>
    <xf numFmtId="0" fontId="0" fillId="3" borderId="0" xfId="0" applyFill="1"/>
    <xf numFmtId="0" fontId="1" fillId="3" borderId="0" xfId="0" applyFont="1" applyFill="1"/>
    <xf numFmtId="0" fontId="0" fillId="4" borderId="0" xfId="0" applyFill="1"/>
    <xf numFmtId="43" fontId="0" fillId="0" borderId="0" xfId="0" applyNumberFormat="1"/>
    <xf numFmtId="9" fontId="0" fillId="0" borderId="0" xfId="0" applyNumberFormat="1"/>
    <xf numFmtId="0" fontId="1" fillId="5" borderId="0" xfId="0" applyFont="1" applyFill="1"/>
    <xf numFmtId="44" fontId="1" fillId="5" borderId="0" xfId="0" applyNumberFormat="1" applyFont="1" applyFill="1"/>
    <xf numFmtId="0" fontId="1" fillId="6" borderId="0" xfId="0" applyFont="1" applyFill="1"/>
    <xf numFmtId="0" fontId="17" fillId="5" borderId="4" xfId="0" applyFont="1" applyFill="1" applyBorder="1"/>
    <xf numFmtId="44" fontId="17" fillId="5" borderId="5" xfId="0" applyNumberFormat="1" applyFont="1" applyFill="1" applyBorder="1"/>
    <xf numFmtId="0" fontId="1" fillId="7" borderId="0" xfId="0" applyFont="1" applyFill="1"/>
    <xf numFmtId="49" fontId="1" fillId="7" borderId="0" xfId="0" applyNumberFormat="1" applyFont="1" applyFill="1"/>
    <xf numFmtId="1" fontId="1" fillId="7" borderId="0" xfId="0" applyNumberFormat="1" applyFont="1" applyFill="1"/>
    <xf numFmtId="0" fontId="2" fillId="7" borderId="0" xfId="0" applyFont="1" applyFill="1"/>
    <xf numFmtId="0" fontId="1" fillId="7" borderId="6" xfId="0" applyFont="1" applyFill="1" applyBorder="1" applyAlignment="1">
      <alignment horizontal="center"/>
    </xf>
    <xf numFmtId="0" fontId="1" fillId="8" borderId="6" xfId="0" applyFont="1" applyFill="1" applyBorder="1"/>
    <xf numFmtId="49" fontId="1" fillId="8" borderId="6" xfId="0" applyNumberFormat="1" applyFont="1" applyFill="1" applyBorder="1"/>
    <xf numFmtId="1" fontId="1" fillId="8" borderId="6" xfId="0" applyNumberFormat="1" applyFont="1" applyFill="1" applyBorder="1"/>
    <xf numFmtId="0" fontId="1" fillId="8" borderId="6" xfId="0" applyFont="1" applyFill="1" applyBorder="1" applyAlignment="1">
      <alignment horizontal="center"/>
    </xf>
    <xf numFmtId="0" fontId="2" fillId="8" borderId="6" xfId="0" applyFont="1" applyFill="1" applyBorder="1" applyAlignment="1">
      <alignment horizontal="center"/>
    </xf>
    <xf numFmtId="0" fontId="1" fillId="9" borderId="0" xfId="0" applyFont="1" applyFill="1"/>
    <xf numFmtId="164" fontId="1" fillId="9" borderId="0" xfId="0" applyNumberFormat="1" applyFont="1" applyFill="1"/>
    <xf numFmtId="1" fontId="1" fillId="0" borderId="0" xfId="0" applyNumberFormat="1" applyFont="1"/>
    <xf numFmtId="164" fontId="1" fillId="0" borderId="0" xfId="0" applyNumberFormat="1" applyFont="1"/>
    <xf numFmtId="0" fontId="2" fillId="3" borderId="0" xfId="0" applyFont="1" applyFill="1"/>
    <xf numFmtId="164" fontId="0" fillId="0" borderId="0" xfId="0" applyNumberFormat="1"/>
    <xf numFmtId="1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0" borderId="0" xfId="0" applyAlignment="1" applyProtection="1">
      <alignment vertical="top" wrapText="1"/>
      <protection locked="0"/>
    </xf>
    <xf numFmtId="0" fontId="0" fillId="0" borderId="3" xfId="0" applyBorder="1" applyAlignment="1" applyProtection="1">
      <alignment vertical="top" wrapText="1"/>
      <protection locked="0"/>
    </xf>
    <xf numFmtId="0" fontId="18" fillId="8" borderId="6" xfId="0" applyFont="1" applyFill="1" applyBorder="1" applyAlignment="1">
      <alignment horizontal="center"/>
    </xf>
    <xf numFmtId="0" fontId="2" fillId="4" borderId="0" xfId="0" applyFont="1" applyFill="1"/>
    <xf numFmtId="0" fontId="0" fillId="0" borderId="8" xfId="0" applyBorder="1" applyAlignment="1" applyProtection="1">
      <alignment horizontal="left"/>
      <protection locked="0"/>
    </xf>
    <xf numFmtId="0" fontId="0" fillId="0" borderId="9" xfId="0" applyBorder="1" applyAlignment="1" applyProtection="1">
      <alignment horizontal="right"/>
      <protection locked="0"/>
    </xf>
    <xf numFmtId="44" fontId="0" fillId="0" borderId="9" xfId="0" applyNumberFormat="1" applyBorder="1" applyProtection="1">
      <protection locked="0"/>
    </xf>
    <xf numFmtId="0" fontId="0" fillId="0" borderId="7" xfId="0" applyBorder="1" applyProtection="1">
      <protection locked="0"/>
    </xf>
    <xf numFmtId="44" fontId="0" fillId="0" borderId="9" xfId="0" applyNumberFormat="1" applyBorder="1"/>
    <xf numFmtId="0" fontId="0" fillId="0" borderId="7" xfId="0" applyBorder="1"/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21" fillId="0" borderId="0" xfId="0" applyFont="1"/>
    <xf numFmtId="0" fontId="23" fillId="0" borderId="7" xfId="0" applyFont="1" applyBorder="1" applyAlignment="1" applyProtection="1">
      <alignment wrapText="1"/>
      <protection locked="0"/>
    </xf>
    <xf numFmtId="0" fontId="23" fillId="0" borderId="8" xfId="0" applyFont="1" applyBorder="1" applyAlignment="1" applyProtection="1">
      <alignment wrapText="1"/>
      <protection locked="0"/>
    </xf>
    <xf numFmtId="0" fontId="20" fillId="0" borderId="0" xfId="0" applyFont="1" applyProtection="1">
      <protection locked="0"/>
    </xf>
    <xf numFmtId="0" fontId="22" fillId="0" borderId="0" xfId="0" applyFont="1" applyAlignment="1" applyProtection="1">
      <alignment vertical="top" wrapText="1"/>
      <protection locked="0"/>
    </xf>
    <xf numFmtId="0" fontId="11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12" fillId="0" borderId="0" xfId="0" applyFont="1" applyAlignment="1" applyProtection="1">
      <alignment horizontal="right" vertical="center"/>
      <protection locked="0"/>
    </xf>
    <xf numFmtId="0" fontId="19" fillId="0" borderId="0" xfId="0" applyFont="1" applyAlignment="1" applyProtection="1">
      <alignment vertical="justify" wrapText="1"/>
      <protection locked="0"/>
    </xf>
    <xf numFmtId="0" fontId="16" fillId="0" borderId="0" xfId="0" applyFont="1" applyAlignment="1">
      <alignment horizontal="left"/>
    </xf>
    <xf numFmtId="0" fontId="0" fillId="0" borderId="0" xfId="0" applyAlignment="1">
      <alignment horizontal="center" vertical="center"/>
    </xf>
    <xf numFmtId="0" fontId="15" fillId="0" borderId="0" xfId="0" applyFont="1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9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justify" vertical="top" wrapText="1"/>
      <protection locked="0"/>
    </xf>
    <xf numFmtId="0" fontId="0" fillId="0" borderId="3" xfId="0" applyBorder="1" applyAlignment="1" applyProtection="1">
      <alignment horizontal="justify" vertical="top" wrapText="1"/>
      <protection locked="0"/>
    </xf>
    <xf numFmtId="0" fontId="3" fillId="2" borderId="0" xfId="0" applyFont="1" applyFill="1" applyAlignment="1">
      <alignment horizontal="center"/>
    </xf>
    <xf numFmtId="0" fontId="14" fillId="0" borderId="0" xfId="0" applyFont="1" applyAlignment="1">
      <alignment horizontal="center" wrapText="1"/>
    </xf>
    <xf numFmtId="0" fontId="25" fillId="0" borderId="0" xfId="0" applyFont="1" applyAlignment="1">
      <alignment horizontal="right" vertical="center" wrapText="1"/>
    </xf>
    <xf numFmtId="0" fontId="21" fillId="0" borderId="0" xfId="0" applyFont="1" applyAlignment="1">
      <alignment horizontal="right" vertical="center"/>
    </xf>
    <xf numFmtId="0" fontId="26" fillId="0" borderId="10" xfId="0" applyFont="1" applyBorder="1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center"/>
      <protection locked="0"/>
    </xf>
    <xf numFmtId="0" fontId="24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49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0" fontId="0" fillId="0" borderId="0" xfId="0" applyAlignment="1">
      <alignment horizontal="left" wrapText="1"/>
    </xf>
    <xf numFmtId="0" fontId="0" fillId="0" borderId="0" xfId="0" applyAlignment="1" applyProtection="1">
      <alignment horizontal="left" vertical="top" wrapText="1"/>
      <protection locked="0"/>
    </xf>
    <xf numFmtId="0" fontId="0" fillId="0" borderId="0" xfId="0" applyAlignment="1">
      <alignment horizontal="left"/>
    </xf>
    <xf numFmtId="164" fontId="2" fillId="0" borderId="0" xfId="0" applyNumberFormat="1" applyFont="1" applyAlignment="1">
      <alignment horizontal="center"/>
    </xf>
    <xf numFmtId="49" fontId="0" fillId="0" borderId="0" xfId="0" applyNumberFormat="1" applyAlignment="1" applyProtection="1">
      <alignment horizontal="left"/>
      <protection locked="0"/>
    </xf>
    <xf numFmtId="0" fontId="2" fillId="3" borderId="0" xfId="0" applyNumberFormat="1" applyFont="1" applyFill="1"/>
    <xf numFmtId="0" fontId="0" fillId="0" borderId="0" xfId="0" applyNumberFormat="1"/>
  </cellXfs>
  <cellStyles count="1">
    <cellStyle name="Normal" xfId="0" builtinId="0"/>
  </cellStyles>
  <dxfs count="42"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00B05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00B050"/>
        </patternFill>
      </fill>
    </dxf>
    <dxf>
      <numFmt numFmtId="166" formatCode="0.0"/>
    </dxf>
    <dxf>
      <numFmt numFmtId="166" formatCode="0.0"/>
    </dxf>
    <dxf>
      <numFmt numFmtId="166" formatCode="0.0"/>
    </dxf>
    <dxf>
      <numFmt numFmtId="166" formatCode="0.0"/>
    </dxf>
    <dxf>
      <numFmt numFmtId="166" formatCode="0.0"/>
    </dxf>
    <dxf>
      <numFmt numFmtId="1" formatCode="0"/>
    </dxf>
    <dxf>
      <numFmt numFmtId="165" formatCode="0.000"/>
    </dxf>
    <dxf>
      <numFmt numFmtId="165" formatCode="0.000"/>
    </dxf>
    <dxf>
      <numFmt numFmtId="165" formatCode="0.000"/>
    </dxf>
    <dxf>
      <numFmt numFmtId="1" formatCode="0"/>
    </dxf>
    <dxf>
      <numFmt numFmtId="164" formatCode="[$-1540A]dd\-mmm\-yy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00B05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00B050"/>
        </patternFill>
      </fill>
    </dxf>
    <dxf>
      <numFmt numFmtId="166" formatCode="0.0"/>
    </dxf>
    <dxf>
      <numFmt numFmtId="166" formatCode="0.0"/>
    </dxf>
    <dxf>
      <numFmt numFmtId="166" formatCode="0.0"/>
    </dxf>
    <dxf>
      <numFmt numFmtId="166" formatCode="0.0"/>
    </dxf>
    <dxf>
      <numFmt numFmtId="166" formatCode="0.0"/>
    </dxf>
    <dxf>
      <numFmt numFmtId="1" formatCode="0"/>
    </dxf>
    <dxf>
      <numFmt numFmtId="165" formatCode="0.000"/>
    </dxf>
    <dxf>
      <numFmt numFmtId="165" formatCode="0.000"/>
    </dxf>
    <dxf>
      <numFmt numFmtId="165" formatCode="0.000"/>
    </dxf>
    <dxf>
      <numFmt numFmtId="1" formatCode="0"/>
    </dxf>
    <dxf>
      <numFmt numFmtId="164" formatCode="[$-1540A]dd\-mmm\-yy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</font>
      <fill>
        <patternFill patternType="solid">
          <fgColor indexed="64"/>
          <bgColor rgb="FF00B0F0"/>
        </patternFill>
      </fill>
    </dxf>
    <dxf>
      <font>
        <b/>
      </font>
      <fill>
        <patternFill patternType="solid">
          <fgColor indexed="64"/>
          <bgColor rgb="FF00B0F0"/>
        </patternFill>
      </fill>
    </dxf>
    <dxf>
      <font>
        <b/>
      </font>
      <fill>
        <patternFill patternType="solid">
          <fgColor rgb="FF000000"/>
          <bgColor rgb="FF00B0F0"/>
        </patternFill>
      </fill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00B050"/>
        </patternFill>
      </fill>
    </dxf>
    <dxf>
      <numFmt numFmtId="0" formatCode="General"/>
    </dxf>
    <dxf>
      <fill>
        <patternFill patternType="solid">
          <fgColor indexed="64"/>
          <bgColor rgb="FF00B050"/>
        </patternFill>
      </fill>
    </dxf>
    <dxf>
      <fill>
        <patternFill patternType="solid">
          <fgColor indexed="64"/>
          <bgColor rgb="FF00B050"/>
        </patternFill>
      </fill>
    </dxf>
    <dxf>
      <numFmt numFmtId="0" formatCode="General"/>
    </dxf>
    <dxf>
      <fill>
        <patternFill patternType="solid">
          <fgColor indexed="64"/>
          <bgColor rgb="FF00B050"/>
        </patternFill>
      </fill>
    </dxf>
  </dxfs>
  <tableStyles count="0" defaultTableStyle="TableStyleMedium2" defaultPivotStyle="PivotStyleLight16"/>
  <colors>
    <mruColors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0</xdr:row>
      <xdr:rowOff>0</xdr:rowOff>
    </xdr:from>
    <xdr:to>
      <xdr:col>3</xdr:col>
      <xdr:colOff>283035</xdr:colOff>
      <xdr:row>0</xdr:row>
      <xdr:rowOff>789457</xdr:rowOff>
    </xdr:to>
    <xdr:pic>
      <xdr:nvPicPr>
        <xdr:cNvPr id="3" name="Imagen 2" descr="pasted-image">
          <a:extLst>
            <a:ext uri="{FF2B5EF4-FFF2-40B4-BE49-F238E27FC236}">
              <a16:creationId xmlns:a16="http://schemas.microsoft.com/office/drawing/2014/main" id="{874E4E36-2B8C-4B21-8B4D-934C1EB82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7175" y="0"/>
          <a:ext cx="1073610" cy="789457"/>
        </a:xfrm>
        <a:prstGeom prst="rect">
          <a:avLst/>
        </a:prstGeom>
        <a:noFill/>
        <a:ln w="12700" cap="flat" cmpd="sng">
          <a:noFill/>
          <a:prstDash val="solid"/>
          <a:miter lim="0"/>
          <a:headEnd type="none" w="med" len="med"/>
          <a:tailEnd type="none" w="med" len="med"/>
        </a:ln>
        <a:effectLst/>
      </xdr:spPr>
    </xdr:pic>
    <xdr:clientData/>
  </xdr:twoCellAnchor>
  <xdr:twoCellAnchor editAs="oneCell">
    <xdr:from>
      <xdr:col>3</xdr:col>
      <xdr:colOff>409575</xdr:colOff>
      <xdr:row>0</xdr:row>
      <xdr:rowOff>447675</xdr:rowOff>
    </xdr:from>
    <xdr:to>
      <xdr:col>11</xdr:col>
      <xdr:colOff>644525</xdr:colOff>
      <xdr:row>0</xdr:row>
      <xdr:rowOff>854075</xdr:rowOff>
    </xdr:to>
    <xdr:pic>
      <xdr:nvPicPr>
        <xdr:cNvPr id="6" name="Imagen 3" descr="pasted-image">
          <a:extLst>
            <a:ext uri="{FF2B5EF4-FFF2-40B4-BE49-F238E27FC236}">
              <a16:creationId xmlns:a16="http://schemas.microsoft.com/office/drawing/2014/main" id="{1F440CDD-7B00-4E4F-AE39-23412D93F728}"/>
            </a:ext>
          </a:extLst>
        </xdr:cNvPr>
        <xdr:cNvPicPr/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457325" y="447675"/>
          <a:ext cx="5159375" cy="406400"/>
        </a:xfrm>
        <a:prstGeom prst="rect">
          <a:avLst/>
        </a:prstGeom>
        <a:noFill/>
        <a:ln w="12700" cap="flat" cmpd="sng">
          <a:noFill/>
          <a:prstDash val="solid"/>
          <a:miter lim="0"/>
          <a:headEnd type="none" w="med" len="med"/>
          <a:tailEnd type="none" w="med" len="med"/>
        </a:ln>
        <a:effectLst/>
      </xdr:spPr>
    </xdr:pic>
    <xdr:clientData/>
  </xdr:twoCellAnchor>
  <xdr:twoCellAnchor editAs="oneCell">
    <xdr:from>
      <xdr:col>16</xdr:col>
      <xdr:colOff>485775</xdr:colOff>
      <xdr:row>1</xdr:row>
      <xdr:rowOff>123825</xdr:rowOff>
    </xdr:from>
    <xdr:to>
      <xdr:col>17</xdr:col>
      <xdr:colOff>304655</xdr:colOff>
      <xdr:row>4</xdr:row>
      <xdr:rowOff>165017</xdr:rowOff>
    </xdr:to>
    <xdr:pic macro="[0]!CreaPDF">
      <xdr:nvPicPr>
        <xdr:cNvPr id="4" name="Picture 3">
          <a:extLst>
            <a:ext uri="{FF2B5EF4-FFF2-40B4-BE49-F238E27FC236}">
              <a16:creationId xmlns:a16="http://schemas.microsoft.com/office/drawing/2014/main" id="{37F39C55-A5A3-4337-BD2D-07D805CE9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934450" y="1000125"/>
          <a:ext cx="476105" cy="612692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88900" algn="tl" rotWithShape="0">
            <a:srgbClr val="000000">
              <a:alpha val="45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 fPrintsWithSheet="0"/>
  </xdr:twoCellAnchor>
  <xdr:twoCellAnchor editAs="oneCell">
    <xdr:from>
      <xdr:col>16</xdr:col>
      <xdr:colOff>485776</xdr:colOff>
      <xdr:row>0</xdr:row>
      <xdr:rowOff>190500</xdr:rowOff>
    </xdr:from>
    <xdr:to>
      <xdr:col>17</xdr:col>
      <xdr:colOff>302433</xdr:colOff>
      <xdr:row>0</xdr:row>
      <xdr:rowOff>733425</xdr:rowOff>
    </xdr:to>
    <xdr:pic macro="[0]!GuardarComo">
      <xdr:nvPicPr>
        <xdr:cNvPr id="2" name="Picture 1">
          <a:extLst>
            <a:ext uri="{FF2B5EF4-FFF2-40B4-BE49-F238E27FC236}">
              <a16:creationId xmlns:a16="http://schemas.microsoft.com/office/drawing/2014/main" id="{9371077C-9F57-4B73-AC39-1A2E3DDDD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34451" y="190500"/>
          <a:ext cx="473882" cy="542925"/>
        </a:xfrm>
        <a:prstGeom prst="round2DiagRect">
          <a:avLst>
            <a:gd name="adj1" fmla="val 16667"/>
            <a:gd name="adj2" fmla="val 0"/>
          </a:avLst>
        </a:prstGeom>
        <a:ln w="88900" cap="sq">
          <a:solidFill>
            <a:srgbClr val="FFFFFF"/>
          </a:solidFill>
          <a:miter lim="800000"/>
        </a:ln>
        <a:effectLst>
          <a:outerShdw blurRad="254000" algn="tl" rotWithShape="0">
            <a:srgbClr val="000000">
              <a:alpha val="43000"/>
            </a:srgbClr>
          </a:outerShdw>
        </a:effectLst>
      </xdr:spPr>
    </xdr:pic>
    <xdr:clientData fPrintsWithSheet="0"/>
  </xdr:twoCellAnchor>
  <xdr:twoCellAnchor editAs="oneCell">
    <xdr:from>
      <xdr:col>11</xdr:col>
      <xdr:colOff>885826</xdr:colOff>
      <xdr:row>41</xdr:row>
      <xdr:rowOff>209550</xdr:rowOff>
    </xdr:from>
    <xdr:to>
      <xdr:col>12</xdr:col>
      <xdr:colOff>242889</xdr:colOff>
      <xdr:row>42</xdr:row>
      <xdr:rowOff>180975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4BC8A27-AF17-463F-8189-AA09E1F3D9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57976" y="8667750"/>
          <a:ext cx="261938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457200</xdr:colOff>
      <xdr:row>8</xdr:row>
      <xdr:rowOff>476250</xdr:rowOff>
    </xdr:from>
    <xdr:to>
      <xdr:col>6</xdr:col>
      <xdr:colOff>70555</xdr:colOff>
      <xdr:row>8</xdr:row>
      <xdr:rowOff>1238250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4FB74A6-E44D-4F22-BD96-379EBB086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43625" y="2000250"/>
          <a:ext cx="832555" cy="7620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2B4C469-10E4-4C01-9569-AB1243114C71}" name="Table22" displayName="Table22" ref="B6:E20" totalsRowCount="1">
  <autoFilter ref="B6:E19" xr:uid="{15183A15-AB2A-4C59-886D-BF2543F4F1D1}"/>
  <tableColumns count="4">
    <tableColumn id="1" xr3:uid="{92EF5B00-CD8F-4DA4-8596-7AABD79BE373}" name="Sistema Mecanico"/>
    <tableColumn id="2" xr3:uid="{510725CB-08A4-4048-BCC3-D648AB325C0D}" name="Cantidad"/>
    <tableColumn id="3" xr3:uid="{2AD4D1AC-1A1D-4ED2-8081-7EBB6864A939}" name="Precio Unitario" totalsRowLabel="Total" totalsRowDxfId="41"/>
    <tableColumn id="4" xr3:uid="{DF10C137-CB0E-4C67-B228-F62CB76263AE}" name="Total" totalsRowFunction="custom" dataDxfId="40" totalsRowDxfId="39">
      <calculatedColumnFormula>Table22[[#This Row],[Cantidad]]*Table22[[#This Row],[Precio Unitario]]</calculatedColumnFormula>
      <totalsRowFormula>SUM(E7:E19)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F365F1D-DA9A-4E7D-B89D-33FB8122437B}" name="Table37" displayName="Table37" ref="B24:E33" totalsRowCount="1">
  <autoFilter ref="B24:E32" xr:uid="{F8047B08-20EE-402F-8AA8-8148101D303F}"/>
  <tableColumns count="4">
    <tableColumn id="1" xr3:uid="{ED5DB951-88F0-44FA-B837-2F32D90B5B53}" name="Sistema Neumatico"/>
    <tableColumn id="2" xr3:uid="{AC47C3B0-7C12-4EAB-AA26-BEA00376F2A6}" name="Cantidad"/>
    <tableColumn id="3" xr3:uid="{E48ABB13-8DB1-464A-8BD2-8B97DF731695}" name="Precio Unitario" totalsRowLabel="Total" totalsRowDxfId="38"/>
    <tableColumn id="4" xr3:uid="{56B4EDDC-D3F4-4C25-9CE0-2F1693A1931C}" name="Total" totalsRowFunction="sum" dataDxfId="37" totalsRowDxfId="36">
      <calculatedColumnFormula>Table37[[#This Row],[Cantidad]]*Table37[[#This Row],[Precio Unitario]]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3A1D162-898E-4366-805C-7642CE7970C2}" name="Table410" displayName="Table410" ref="B37:E44" totalsRowShown="0">
  <autoFilter ref="B37:E44" xr:uid="{F9094879-7D60-4675-9D63-2AE00B147371}"/>
  <tableColumns count="4">
    <tableColumn id="1" xr3:uid="{05A0178C-BE19-4AAC-9C67-0B2610B83DA9}" name="Mesa, estación"/>
    <tableColumn id="2" xr3:uid="{1032EB92-58B7-4641-8F9A-19C8B8BF6224}" name="Cantidad"/>
    <tableColumn id="3" xr3:uid="{7308C737-AA6B-4A17-A515-A526E7B41275}" name="Precio Unitario"/>
    <tableColumn id="4" xr3:uid="{6A9458FF-77C6-42C7-9897-1E72D28AC2E0}" name="Total" dataDxfId="35">
      <calculatedColumnFormula>Table410[[#This Row],[Cantidad]]*Table410[[#This Row],[Precio Unitario]]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FC30CE-7AD4-42B4-9672-D5FA8DD05F32}" name="Table511" displayName="Table511" ref="B51:E58" totalsRowCount="1">
  <autoFilter ref="B51:E57" xr:uid="{02EEC15C-2F78-4201-BBCF-804A2A2FFA72}"/>
  <tableColumns count="4">
    <tableColumn id="1" xr3:uid="{C91C61A8-6CBE-4F92-8C34-E678ACC2031C}" name="Mano de Obra"/>
    <tableColumn id="2" xr3:uid="{28BEB8AB-CA2F-492F-AB7C-6F8541A669B6}" name="Qty Hrs"/>
    <tableColumn id="3" xr3:uid="{7212442F-F22B-49FD-B292-6056F2287CD9}" name="Costo Hr"/>
    <tableColumn id="4" xr3:uid="{33EE8E05-C92A-42CA-A84C-8C9E25BD1EDD}" name="Total" dataDxfId="34">
      <calculatedColumnFormula>Table511[[#This Row],[Costo Hr]]*Table511[[#This Row],[Qty Hrs]]</calculatedColumnFormula>
    </tableColumn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0ED3ACA-2FC3-41E8-9BCB-230144AEA740}" name="Table712" displayName="Table712" ref="D74:E78" totalsRowShown="0" totalsRowDxfId="33">
  <autoFilter ref="D74:E78" xr:uid="{93079D75-BB53-4202-AB06-EFCD27D18881}"/>
  <tableColumns count="2">
    <tableColumn id="1" xr3:uid="{1850E2F5-BA52-4DEF-80AC-C30577BDEE79}" name="Total Costos" totalsRowDxfId="32"/>
    <tableColumn id="2" xr3:uid="{2B4BA3C7-6013-45A4-990D-BC5B0B728E2A}" name="Costo" totalsRowDxfId="31"/>
  </tableColumns>
  <tableStyleInfo name="TableStyleMedium1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6511830-0D4E-4320-96C6-29DD13AB9887}" name="Table813" displayName="Table813" ref="D80:E83" totalsRowShown="0">
  <autoFilter ref="D80:E83" xr:uid="{46260CCE-C2E4-4F26-953B-59F4DA376303}"/>
  <tableColumns count="2">
    <tableColumn id="1" xr3:uid="{8037A34B-6869-413E-99D1-E95221CC068B}" name="Total"/>
    <tableColumn id="2" xr3:uid="{BEF571A8-CFC1-4C08-9F42-1BDB3D8A1072}" name="Costo"/>
  </tableColumns>
  <tableStyleInfo name="TableStyleMedium1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D7F61E1-8321-4C17-A8DA-3EADC73BE203}" name="Table7" displayName="Table7" ref="A6:U29" totalsRowCount="1" headerRowDxfId="30">
  <autoFilter ref="A6:U28" xr:uid="{4D7F61E1-8321-4C17-A8DA-3EADC73BE203}"/>
  <tableColumns count="21">
    <tableColumn id="1" xr3:uid="{9E47788F-4173-403C-A90A-8AD307D7390B}" name="Cot" dataDxfId="29" totalsRowDxfId="14"/>
    <tableColumn id="2" xr3:uid="{EA362607-2F11-4635-80A6-97A21CC0B59C}" name="Name"/>
    <tableColumn id="3" xr3:uid="{E5FE3A4B-DD9D-4E7A-8FE2-70E4FF5290C7}" name="No Parte." dataDxfId="28" totalsRowDxfId="13"/>
    <tableColumn id="4" xr3:uid="{078E256C-FEF7-4761-9ED8-876030084245}" name="Cantidad" dataDxfId="27" totalsRowDxfId="12"/>
    <tableColumn id="5" xr3:uid="{94A5DDFC-CC2E-480B-B340-2893D60691AD}" name="Material"/>
    <tableColumn id="6" xr3:uid="{CF94174E-206F-41C3-A459-53BDD0CF3A16}" name="Dimensiones Material" dataDxfId="26" totalsRowDxfId="11"/>
    <tableColumn id="7" xr3:uid="{E63B2312-FA15-4C68-BBDE-4A501EBC5226}" name="Column1" dataDxfId="25" totalsRowDxfId="10"/>
    <tableColumn id="8" xr3:uid="{D5B8FE33-2112-4809-AB0C-381449D61021}" name="Column2" dataDxfId="24" totalsRowDxfId="9"/>
    <tableColumn id="9" xr3:uid="{9DD44A0C-6616-4ED9-A76D-806526070FF0}" name="Costo Material" dataDxfId="23" totalsRowDxfId="8"/>
    <tableColumn id="10" xr3:uid="{13BBFF95-4F8B-456F-9B36-C928FCD276BF}" name="Programación" dataDxfId="22" totalsRowDxfId="7"/>
    <tableColumn id="11" xr3:uid="{7A129E54-4435-4543-9CCB-1E9D5AC0B76C}" name="CNC" dataDxfId="21" totalsRowDxfId="6"/>
    <tableColumn id="12" xr3:uid="{1A6246E4-D85D-427E-B596-90EE0D6A2C25}" name="Convencional" dataDxfId="20" totalsRowDxfId="5"/>
    <tableColumn id="13" xr3:uid="{91F26745-1748-4723-B610-85BE22B1B93B}" name="EDM" dataDxfId="19" totalsRowDxfId="4"/>
    <tableColumn id="14" xr3:uid="{A1D68990-A807-4835-A695-90E1AC1A1AA2}" name="Tratamiento" dataDxfId="18" totalsRowDxfId="3"/>
    <tableColumn id="15" xr3:uid="{61F0216C-5343-4AE8-BFF7-5FF410881A35}" name="Total sin 30%">
      <calculatedColumnFormula>I7+(J7*J$2)+(K7*J$2)+(L7*J$1)+(M7*J$2)+N7</calculatedColumnFormula>
    </tableColumn>
    <tableColumn id="20" xr3:uid="{769F47C0-FA9A-490A-91CA-F8667AA56B31}" name="Column5"/>
    <tableColumn id="16" xr3:uid="{E50B4C6F-1B38-4B04-B2D4-12D1E2F52B1D}" name="P. Unit (30%)" dataDxfId="17" totalsRowDxfId="2">
      <calculatedColumnFormula>O7*1.3</calculatedColumnFormula>
    </tableColumn>
    <tableColumn id="21" xr3:uid="{CF90F47F-26F3-47EF-9F49-B1169A55081F}" name="Total" totalsRowFunction="sum" dataDxfId="16" totalsRowDxfId="1">
      <calculatedColumnFormula>Table7[[#This Row],[P. Unit (30%)]]*D7</calculatedColumnFormula>
    </tableColumn>
    <tableColumn id="17" xr3:uid="{3E8179FC-67F8-4AD5-AF44-D1349FDE89AC}" name="-"/>
    <tableColumn id="18" xr3:uid="{C5309330-7626-4BBF-98D4-3A4141AFB12C}" name="Moneda nacional">
      <calculatedColumnFormula>Q7*O$2</calculatedColumnFormula>
    </tableColumn>
    <tableColumn id="19" xr3:uid="{41D078F2-74B0-424E-94CF-A749DDAF9452}" name="Column4" totalsRowFunction="sum" dataDxfId="15" totalsRowDxfId="0">
      <calculatedColumnFormula>Table7[[#This Row],[Total]]*O$2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43"/>
  <sheetViews>
    <sheetView tabSelected="1" showWhiteSpace="0" view="pageLayout" zoomScaleNormal="100" workbookViewId="0">
      <selection activeCell="I31" sqref="I31"/>
    </sheetView>
  </sheetViews>
  <sheetFormatPr defaultRowHeight="15" x14ac:dyDescent="0.25"/>
  <cols>
    <col min="1" max="1" width="2.140625" customWidth="1"/>
    <col min="2" max="2" width="6.140625" customWidth="1"/>
    <col min="3" max="3" width="5.7109375" customWidth="1"/>
    <col min="4" max="4" width="6.5703125" customWidth="1"/>
    <col min="5" max="5" width="10.28515625" customWidth="1"/>
    <col min="6" max="6" width="10.7109375" customWidth="1"/>
    <col min="7" max="7" width="14.28515625" customWidth="1"/>
    <col min="8" max="8" width="4.28515625" customWidth="1"/>
    <col min="9" max="9" width="6.28515625" customWidth="1"/>
    <col min="10" max="10" width="12.140625" customWidth="1"/>
    <col min="11" max="11" width="4.28515625" customWidth="1"/>
    <col min="12" max="12" width="12.5703125" customWidth="1"/>
    <col min="13" max="13" width="6.42578125" customWidth="1"/>
    <col min="14" max="14" width="0.42578125" customWidth="1"/>
  </cols>
  <sheetData>
    <row r="1" spans="1:18" ht="69" customHeight="1" x14ac:dyDescent="0.25">
      <c r="A1" s="88"/>
      <c r="B1" s="88"/>
      <c r="C1" s="88"/>
      <c r="D1" s="88"/>
      <c r="E1" s="88"/>
      <c r="F1" s="88"/>
      <c r="G1" s="88"/>
      <c r="H1" s="88"/>
      <c r="I1" s="88"/>
      <c r="J1" s="1"/>
    </row>
    <row r="2" spans="1:18" x14ac:dyDescent="0.25">
      <c r="B2" s="90" t="s">
        <v>81</v>
      </c>
      <c r="C2" s="90"/>
      <c r="D2" s="90"/>
      <c r="E2" s="90"/>
    </row>
    <row r="3" spans="1:18" ht="15" customHeight="1" x14ac:dyDescent="0.25">
      <c r="B3" s="90"/>
      <c r="C3" s="90"/>
      <c r="D3" s="90"/>
      <c r="E3" s="90"/>
      <c r="G3" s="4" t="s">
        <v>2</v>
      </c>
      <c r="H3" s="91"/>
      <c r="I3" s="91"/>
      <c r="J3" s="91"/>
      <c r="K3" s="91"/>
      <c r="L3" s="91"/>
      <c r="M3" s="91"/>
      <c r="R3" s="12"/>
    </row>
    <row r="4" spans="1:18" x14ac:dyDescent="0.25">
      <c r="B4" s="90"/>
      <c r="C4" s="90"/>
      <c r="D4" s="90"/>
      <c r="E4" s="90"/>
      <c r="H4" s="91"/>
      <c r="I4" s="91"/>
      <c r="J4" s="91"/>
      <c r="K4" s="91"/>
      <c r="L4" s="91"/>
      <c r="M4" s="91"/>
    </row>
    <row r="5" spans="1:18" ht="15.75" customHeight="1" x14ac:dyDescent="0.25">
      <c r="B5" s="3"/>
      <c r="C5" s="5"/>
      <c r="D5" s="86"/>
      <c r="E5" s="86"/>
      <c r="G5" s="4" t="s">
        <v>127</v>
      </c>
      <c r="H5" s="91"/>
      <c r="I5" s="91"/>
      <c r="J5" s="91"/>
      <c r="K5" s="91"/>
      <c r="L5" s="91"/>
      <c r="M5" s="91"/>
    </row>
    <row r="6" spans="1:18" ht="15.75" customHeight="1" x14ac:dyDescent="0.25">
      <c r="B6" s="3"/>
      <c r="C6" s="86"/>
      <c r="D6" s="86"/>
      <c r="E6" s="86"/>
      <c r="G6" s="4"/>
      <c r="H6" s="91"/>
      <c r="I6" s="91"/>
      <c r="J6" s="91"/>
      <c r="K6" s="91"/>
      <c r="L6" s="91"/>
      <c r="M6" s="91"/>
    </row>
    <row r="7" spans="1:18" ht="15.75" x14ac:dyDescent="0.25">
      <c r="G7" s="4" t="s">
        <v>1</v>
      </c>
      <c r="H7" s="92" t="s">
        <v>135</v>
      </c>
      <c r="I7" s="92"/>
      <c r="J7" s="3"/>
      <c r="K7" s="3"/>
    </row>
    <row r="8" spans="1:18" ht="15.75" x14ac:dyDescent="0.25">
      <c r="B8" s="4" t="s">
        <v>0</v>
      </c>
      <c r="C8" s="93"/>
      <c r="D8" s="93"/>
      <c r="I8" s="94"/>
      <c r="J8" s="94"/>
      <c r="K8" s="94"/>
      <c r="L8" s="94"/>
      <c r="M8" s="94"/>
    </row>
    <row r="9" spans="1:18" ht="15" customHeight="1" x14ac:dyDescent="0.25">
      <c r="B9" s="89" t="s">
        <v>88</v>
      </c>
      <c r="C9" s="89"/>
      <c r="D9" s="89"/>
      <c r="E9" s="72"/>
      <c r="G9" s="89" t="s">
        <v>87</v>
      </c>
      <c r="H9" s="89"/>
      <c r="I9" s="94"/>
      <c r="J9" s="94"/>
      <c r="K9" s="94"/>
      <c r="L9" s="94"/>
      <c r="M9" s="94"/>
      <c r="N9" s="94"/>
    </row>
    <row r="10" spans="1:18" ht="15" customHeight="1" x14ac:dyDescent="0.25">
      <c r="B10" s="61"/>
      <c r="C10" s="61"/>
      <c r="D10" s="61"/>
      <c r="E10" s="21"/>
      <c r="G10" s="62"/>
      <c r="H10" s="62"/>
      <c r="I10" s="85"/>
      <c r="J10" s="85"/>
      <c r="K10" s="85"/>
      <c r="L10" s="20"/>
      <c r="M10" s="20"/>
    </row>
    <row r="11" spans="1:18" ht="3.75" customHeight="1" x14ac:dyDescent="0.25">
      <c r="B11" s="6"/>
      <c r="C11" s="5"/>
      <c r="D11" s="5"/>
    </row>
    <row r="12" spans="1:18" ht="17.25" customHeight="1" x14ac:dyDescent="0.25">
      <c r="B12" s="87" t="s">
        <v>126</v>
      </c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</row>
    <row r="13" spans="1:18" ht="15.75" x14ac:dyDescent="0.25">
      <c r="B13" s="80" t="s">
        <v>82</v>
      </c>
      <c r="C13" s="80"/>
      <c r="D13" s="80"/>
      <c r="E13" s="80"/>
      <c r="F13" s="80"/>
      <c r="G13" s="80"/>
      <c r="H13" s="80" t="s">
        <v>5</v>
      </c>
      <c r="I13" s="80"/>
      <c r="J13" s="80" t="s">
        <v>4</v>
      </c>
      <c r="K13" s="80"/>
      <c r="L13" s="75" t="s">
        <v>3</v>
      </c>
      <c r="M13" s="75"/>
    </row>
    <row r="14" spans="1:18" x14ac:dyDescent="0.25">
      <c r="B14" s="73"/>
      <c r="C14" s="73"/>
      <c r="D14" s="73"/>
      <c r="E14" s="51"/>
      <c r="F14" s="51"/>
      <c r="G14" s="52"/>
      <c r="H14" s="13"/>
      <c r="I14" s="14"/>
      <c r="J14" s="15"/>
      <c r="K14" s="16"/>
      <c r="L14" s="11" t="str">
        <f>IF(H14="","",(J14*H14))</f>
        <v/>
      </c>
      <c r="M14" t="str">
        <f>IF(K14="","",K14)</f>
        <v/>
      </c>
    </row>
    <row r="15" spans="1:18" x14ac:dyDescent="0.25">
      <c r="B15" s="51"/>
      <c r="C15" s="51"/>
      <c r="D15" s="51"/>
      <c r="E15" s="51"/>
      <c r="F15" s="51"/>
      <c r="G15" s="52"/>
      <c r="H15" s="13"/>
      <c r="I15" s="14"/>
      <c r="J15" s="15"/>
      <c r="K15" s="16"/>
      <c r="L15" s="11" t="str">
        <f t="shared" ref="L15:L35" si="0">IF(H15="","",(J15*H15))</f>
        <v/>
      </c>
      <c r="M15" t="str">
        <f t="shared" ref="M15:M35" si="1">IF(K15="","",K15)</f>
        <v/>
      </c>
    </row>
    <row r="16" spans="1:18" x14ac:dyDescent="0.25">
      <c r="B16" s="51"/>
      <c r="C16" s="51"/>
      <c r="D16" s="51"/>
      <c r="E16" s="51"/>
      <c r="F16" s="51"/>
      <c r="G16" s="52"/>
      <c r="H16" s="13"/>
      <c r="I16" s="14"/>
      <c r="J16" s="15"/>
      <c r="K16" s="16"/>
      <c r="L16" s="11" t="str">
        <f t="shared" si="0"/>
        <v/>
      </c>
      <c r="M16" t="str">
        <f t="shared" si="1"/>
        <v/>
      </c>
    </row>
    <row r="17" spans="2:13" ht="15" customHeight="1" x14ac:dyDescent="0.25">
      <c r="B17" s="51"/>
      <c r="C17" s="51"/>
      <c r="D17" s="51"/>
      <c r="E17" s="51"/>
      <c r="F17" s="51"/>
      <c r="G17" s="52"/>
      <c r="H17" s="13"/>
      <c r="I17" s="14"/>
      <c r="J17" s="15"/>
      <c r="K17" s="16"/>
      <c r="L17" s="11" t="str">
        <f t="shared" si="0"/>
        <v/>
      </c>
      <c r="M17" t="str">
        <f t="shared" si="1"/>
        <v/>
      </c>
    </row>
    <row r="18" spans="2:13" ht="15" customHeight="1" x14ac:dyDescent="0.25">
      <c r="B18" s="51"/>
      <c r="C18" s="51"/>
      <c r="D18" s="51"/>
      <c r="E18" s="51"/>
      <c r="F18" s="51"/>
      <c r="G18" s="52"/>
      <c r="H18" s="13"/>
      <c r="I18" s="14"/>
      <c r="J18" s="15"/>
      <c r="K18" s="16"/>
      <c r="L18" s="11" t="str">
        <f t="shared" si="0"/>
        <v/>
      </c>
      <c r="M18" t="str">
        <f t="shared" si="1"/>
        <v/>
      </c>
    </row>
    <row r="19" spans="2:13" x14ac:dyDescent="0.25">
      <c r="B19" s="51"/>
      <c r="C19" s="51"/>
      <c r="D19" s="51"/>
      <c r="E19" s="51"/>
      <c r="F19" s="51"/>
      <c r="G19" s="52"/>
      <c r="H19" s="13"/>
      <c r="I19" s="14"/>
      <c r="J19" s="15"/>
      <c r="K19" s="16"/>
      <c r="L19" s="11" t="str">
        <f t="shared" si="0"/>
        <v/>
      </c>
      <c r="M19" t="str">
        <f t="shared" si="1"/>
        <v/>
      </c>
    </row>
    <row r="20" spans="2:13" x14ac:dyDescent="0.25">
      <c r="B20" s="51"/>
      <c r="C20" s="51"/>
      <c r="D20" s="51"/>
      <c r="E20" s="51"/>
      <c r="F20" s="51"/>
      <c r="G20" s="52"/>
      <c r="H20" s="13"/>
      <c r="I20" s="14"/>
      <c r="J20" s="15"/>
      <c r="K20" s="16"/>
      <c r="L20" s="11" t="str">
        <f t="shared" si="0"/>
        <v/>
      </c>
      <c r="M20" t="str">
        <f t="shared" si="1"/>
        <v/>
      </c>
    </row>
    <row r="21" spans="2:13" x14ac:dyDescent="0.25">
      <c r="B21" s="51"/>
      <c r="C21" s="51"/>
      <c r="D21" s="51"/>
      <c r="E21" s="51"/>
      <c r="F21" s="51"/>
      <c r="G21" s="52"/>
      <c r="H21" s="13"/>
      <c r="I21" s="14"/>
      <c r="J21" s="15"/>
      <c r="K21" s="16"/>
      <c r="L21" s="11" t="str">
        <f t="shared" si="0"/>
        <v/>
      </c>
      <c r="M21" t="str">
        <f t="shared" si="1"/>
        <v/>
      </c>
    </row>
    <row r="22" spans="2:13" x14ac:dyDescent="0.25">
      <c r="B22" s="51"/>
      <c r="C22" s="51"/>
      <c r="D22" s="51"/>
      <c r="E22" s="51"/>
      <c r="F22" s="51"/>
      <c r="G22" s="52"/>
      <c r="H22" s="13"/>
      <c r="I22" s="14"/>
      <c r="J22" s="15"/>
      <c r="K22" s="16"/>
      <c r="L22" s="11" t="str">
        <f t="shared" si="0"/>
        <v/>
      </c>
      <c r="M22" t="str">
        <f t="shared" si="1"/>
        <v/>
      </c>
    </row>
    <row r="23" spans="2:13" ht="15" customHeight="1" x14ac:dyDescent="0.25">
      <c r="B23" s="51"/>
      <c r="C23" s="51"/>
      <c r="D23" s="51"/>
      <c r="E23" s="51"/>
      <c r="F23" s="51"/>
      <c r="G23" s="52"/>
      <c r="H23" s="13"/>
      <c r="I23" s="14"/>
      <c r="J23" s="15"/>
      <c r="K23" s="16"/>
      <c r="L23" s="11" t="str">
        <f t="shared" si="0"/>
        <v/>
      </c>
      <c r="M23" t="str">
        <f t="shared" si="1"/>
        <v/>
      </c>
    </row>
    <row r="24" spans="2:13" x14ac:dyDescent="0.25">
      <c r="B24" s="51"/>
      <c r="C24" s="51"/>
      <c r="D24" s="51"/>
      <c r="E24" s="51"/>
      <c r="F24" s="51"/>
      <c r="G24" s="52"/>
      <c r="H24" s="13"/>
      <c r="I24" s="14"/>
      <c r="J24" s="15"/>
      <c r="K24" s="16"/>
      <c r="L24" s="11" t="str">
        <f t="shared" si="0"/>
        <v/>
      </c>
      <c r="M24" t="str">
        <f t="shared" si="1"/>
        <v/>
      </c>
    </row>
    <row r="25" spans="2:13" x14ac:dyDescent="0.25">
      <c r="B25" s="51"/>
      <c r="C25" s="51"/>
      <c r="D25" s="51"/>
      <c r="E25" s="51"/>
      <c r="F25" s="51"/>
      <c r="G25" s="52"/>
      <c r="H25" s="13"/>
      <c r="I25" s="14"/>
      <c r="J25" s="15"/>
      <c r="K25" s="16"/>
      <c r="L25" s="11" t="str">
        <f t="shared" si="0"/>
        <v/>
      </c>
      <c r="M25" t="str">
        <f t="shared" si="1"/>
        <v/>
      </c>
    </row>
    <row r="26" spans="2:13" ht="15" customHeight="1" x14ac:dyDescent="0.25">
      <c r="B26" s="66"/>
      <c r="C26" s="51"/>
      <c r="D26" s="51"/>
      <c r="E26" s="51"/>
      <c r="F26" s="51"/>
      <c r="G26" s="52"/>
      <c r="H26" s="13"/>
      <c r="I26" s="14"/>
      <c r="J26" s="15"/>
      <c r="K26" s="16"/>
      <c r="L26" s="11" t="str">
        <f t="shared" si="0"/>
        <v/>
      </c>
      <c r="M26" t="str">
        <f t="shared" si="1"/>
        <v/>
      </c>
    </row>
    <row r="27" spans="2:13" ht="14.25" customHeight="1" x14ac:dyDescent="0.25">
      <c r="B27" s="51"/>
      <c r="C27" s="51"/>
      <c r="D27" s="51"/>
      <c r="E27" s="51"/>
      <c r="F27" s="51"/>
      <c r="G27" s="52"/>
      <c r="H27" s="13"/>
      <c r="I27" s="14"/>
      <c r="J27" s="15"/>
      <c r="K27" s="16"/>
      <c r="L27" s="11" t="str">
        <f t="shared" si="0"/>
        <v/>
      </c>
      <c r="M27" t="str">
        <f t="shared" si="1"/>
        <v/>
      </c>
    </row>
    <row r="28" spans="2:13" ht="14.45" customHeight="1" x14ac:dyDescent="0.25">
      <c r="B28" s="71"/>
      <c r="C28" s="71"/>
      <c r="D28" s="71"/>
      <c r="E28" s="71"/>
      <c r="F28" s="71"/>
      <c r="G28" s="71"/>
      <c r="H28" s="13"/>
      <c r="I28" s="14"/>
      <c r="J28" s="15"/>
      <c r="K28" s="16"/>
      <c r="L28" s="11" t="str">
        <f t="shared" si="0"/>
        <v/>
      </c>
      <c r="M28" t="str">
        <f t="shared" si="1"/>
        <v/>
      </c>
    </row>
    <row r="29" spans="2:13" x14ac:dyDescent="0.25">
      <c r="B29" s="71"/>
      <c r="C29" s="71"/>
      <c r="D29" s="71"/>
      <c r="E29" s="71"/>
      <c r="F29" s="71"/>
      <c r="G29" s="71"/>
      <c r="H29" s="13"/>
      <c r="I29" s="14"/>
      <c r="J29" s="15"/>
      <c r="K29" s="16"/>
      <c r="L29" s="11" t="str">
        <f t="shared" si="0"/>
        <v/>
      </c>
      <c r="M29" t="str">
        <f t="shared" si="1"/>
        <v/>
      </c>
    </row>
    <row r="30" spans="2:13" x14ac:dyDescent="0.25">
      <c r="B30" s="71"/>
      <c r="C30" s="71"/>
      <c r="D30" s="71"/>
      <c r="E30" s="71"/>
      <c r="F30" s="71"/>
      <c r="G30" s="71"/>
      <c r="H30" s="13"/>
      <c r="I30" s="14"/>
      <c r="J30" s="15"/>
      <c r="K30" s="16"/>
      <c r="L30" s="11" t="str">
        <f t="shared" si="0"/>
        <v/>
      </c>
      <c r="M30" t="str">
        <f t="shared" si="1"/>
        <v/>
      </c>
    </row>
    <row r="31" spans="2:13" x14ac:dyDescent="0.25">
      <c r="B31" s="71"/>
      <c r="C31" s="71"/>
      <c r="D31" s="71"/>
      <c r="E31" s="71"/>
      <c r="F31" s="71"/>
      <c r="G31" s="71"/>
      <c r="H31" s="13"/>
      <c r="I31" s="14"/>
      <c r="J31" s="15"/>
      <c r="K31" s="16"/>
      <c r="L31" s="11" t="str">
        <f t="shared" si="0"/>
        <v/>
      </c>
      <c r="M31" t="str">
        <f t="shared" si="1"/>
        <v/>
      </c>
    </row>
    <row r="32" spans="2:13" x14ac:dyDescent="0.25">
      <c r="B32" s="51"/>
      <c r="C32" s="51"/>
      <c r="D32" s="51"/>
      <c r="E32" s="51"/>
      <c r="F32" s="51"/>
      <c r="G32" s="52"/>
      <c r="H32" s="13"/>
      <c r="I32" s="14"/>
      <c r="J32" s="15"/>
      <c r="K32" s="16"/>
      <c r="L32" s="11" t="str">
        <f t="shared" si="0"/>
        <v/>
      </c>
      <c r="M32" t="str">
        <f t="shared" si="1"/>
        <v/>
      </c>
    </row>
    <row r="33" spans="1:16" x14ac:dyDescent="0.25">
      <c r="B33" s="51"/>
      <c r="C33" s="51"/>
      <c r="D33" s="51"/>
      <c r="E33" s="51"/>
      <c r="F33" s="51"/>
      <c r="G33" s="52"/>
      <c r="H33" s="13"/>
      <c r="I33" s="14"/>
      <c r="J33" s="15"/>
      <c r="K33" s="16"/>
      <c r="L33" s="11"/>
    </row>
    <row r="34" spans="1:16" x14ac:dyDescent="0.25">
      <c r="B34" s="78"/>
      <c r="C34" s="78"/>
      <c r="D34" s="78"/>
      <c r="E34" s="78"/>
      <c r="F34" s="78"/>
      <c r="G34" s="79"/>
      <c r="H34" s="13"/>
      <c r="I34" s="14"/>
      <c r="J34" s="15"/>
      <c r="K34" s="16"/>
      <c r="L34" s="11" t="str">
        <f t="shared" si="0"/>
        <v/>
      </c>
      <c r="M34" t="str">
        <f t="shared" si="1"/>
        <v/>
      </c>
    </row>
    <row r="35" spans="1:16" ht="15" customHeight="1" x14ac:dyDescent="0.25">
      <c r="B35" s="60"/>
      <c r="C35" s="64"/>
      <c r="D35" s="64"/>
      <c r="E35" s="64"/>
      <c r="F35" s="64"/>
      <c r="G35" s="65"/>
      <c r="H35" s="56"/>
      <c r="I35" s="55"/>
      <c r="J35" s="57"/>
      <c r="K35" s="58"/>
      <c r="L35" s="59" t="str">
        <f t="shared" si="0"/>
        <v/>
      </c>
      <c r="M35" s="60" t="str">
        <f t="shared" si="1"/>
        <v/>
      </c>
    </row>
    <row r="36" spans="1:16" ht="15.6" customHeight="1" x14ac:dyDescent="0.25">
      <c r="A36" s="67"/>
      <c r="B36" s="84" t="s">
        <v>138</v>
      </c>
      <c r="C36" s="84"/>
      <c r="D36" s="84"/>
      <c r="E36" s="84"/>
      <c r="F36" s="84"/>
      <c r="G36" s="84"/>
      <c r="H36" s="84"/>
      <c r="I36" s="84"/>
      <c r="J36" s="84"/>
      <c r="K36" s="84"/>
      <c r="L36" s="84"/>
      <c r="M36" s="84"/>
    </row>
    <row r="37" spans="1:16" ht="15.6" customHeight="1" x14ac:dyDescent="0.3">
      <c r="C37" s="17" t="s">
        <v>73</v>
      </c>
      <c r="D37" s="68"/>
      <c r="E37" s="69"/>
      <c r="F37" s="70"/>
      <c r="G37" s="76" t="s">
        <v>83</v>
      </c>
      <c r="H37" s="76"/>
      <c r="I37" s="76"/>
      <c r="J37" s="76"/>
      <c r="K37" s="76"/>
      <c r="L37" s="76"/>
      <c r="M37" s="76"/>
    </row>
    <row r="38" spans="1:16" ht="13.9" customHeight="1" x14ac:dyDescent="0.25">
      <c r="B38" s="82" t="s">
        <v>137</v>
      </c>
      <c r="C38" s="82"/>
      <c r="D38" s="82"/>
      <c r="E38" s="82"/>
      <c r="F38" s="82"/>
      <c r="G38" s="82"/>
      <c r="H38" s="82"/>
      <c r="I38" s="82"/>
      <c r="J38" s="83" t="s">
        <v>134</v>
      </c>
      <c r="K38" s="83"/>
      <c r="L38" s="83"/>
      <c r="M38" s="83"/>
      <c r="N38" s="63"/>
      <c r="O38" s="63"/>
      <c r="P38" s="63"/>
    </row>
    <row r="39" spans="1:16" ht="15" customHeight="1" x14ac:dyDescent="0.3">
      <c r="E39" s="77" t="s">
        <v>84</v>
      </c>
      <c r="F39" s="77"/>
      <c r="G39" s="77"/>
      <c r="H39" s="77"/>
      <c r="I39" s="77"/>
      <c r="J39" s="77"/>
    </row>
    <row r="40" spans="1:16" ht="0.75" customHeight="1" x14ac:dyDescent="0.25"/>
    <row r="41" spans="1:16" ht="8.25" customHeight="1" x14ac:dyDescent="0.25">
      <c r="B41" s="81" t="s">
        <v>85</v>
      </c>
      <c r="C41" s="81"/>
      <c r="D41" s="81"/>
      <c r="E41" s="81"/>
      <c r="F41" s="81"/>
      <c r="G41" s="81"/>
      <c r="H41" s="81"/>
      <c r="I41" s="81"/>
      <c r="J41" s="81"/>
      <c r="K41" s="81"/>
      <c r="L41" s="81"/>
      <c r="M41" s="81"/>
    </row>
    <row r="42" spans="1:16" ht="21.75" customHeight="1" x14ac:dyDescent="0.25">
      <c r="B42" s="81"/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81"/>
    </row>
    <row r="43" spans="1:16" x14ac:dyDescent="0.25">
      <c r="B43" s="74" t="s">
        <v>86</v>
      </c>
      <c r="C43" s="74"/>
      <c r="D43" s="74"/>
      <c r="E43" s="74"/>
      <c r="F43" s="74"/>
      <c r="G43" s="74"/>
      <c r="H43" s="74"/>
      <c r="I43" s="74"/>
      <c r="J43" s="74"/>
      <c r="K43" s="74"/>
      <c r="L43" s="74"/>
      <c r="M43" s="74"/>
    </row>
  </sheetData>
  <sheetProtection formatCells="0" formatColumns="0" formatRows="0" selectLockedCells="1"/>
  <mergeCells count="26">
    <mergeCell ref="I10:K10"/>
    <mergeCell ref="D5:E5"/>
    <mergeCell ref="B12:M12"/>
    <mergeCell ref="A1:I1"/>
    <mergeCell ref="B9:D9"/>
    <mergeCell ref="G9:H9"/>
    <mergeCell ref="B2:E4"/>
    <mergeCell ref="H3:M4"/>
    <mergeCell ref="H7:I7"/>
    <mergeCell ref="C6:E6"/>
    <mergeCell ref="C8:D8"/>
    <mergeCell ref="I8:M8"/>
    <mergeCell ref="H5:M6"/>
    <mergeCell ref="I9:N9"/>
    <mergeCell ref="B43:M43"/>
    <mergeCell ref="L13:M13"/>
    <mergeCell ref="G37:M37"/>
    <mergeCell ref="E39:J39"/>
    <mergeCell ref="B34:G34"/>
    <mergeCell ref="B13:G13"/>
    <mergeCell ref="J13:K13"/>
    <mergeCell ref="H13:I13"/>
    <mergeCell ref="B41:M42"/>
    <mergeCell ref="B38:I38"/>
    <mergeCell ref="J38:M38"/>
    <mergeCell ref="B36:M36"/>
  </mergeCells>
  <pageMargins left="0.25" right="0.25" top="0.75" bottom="0.75" header="0.3" footer="0.3"/>
  <pageSetup orientation="portrait" r:id="rId1"/>
  <headerFooter>
    <oddHeader>&amp;C&amp;"-,Bold"&amp;12&amp;K00-010
&amp;U___________________________________________________________________________________</oddHeader>
    <oddFooter xml:space="preserve">&amp;C&amp;"-,Bold"&amp;12&amp;K00-038___________________________________________________________________________________
Lázaro Cárdenas #4559 Col. Gabriel Rodríguez. Tijuana, B.C. Tel: (664) 661 7251  
Email: contacto@idmingenieria.com 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Sheet3!$F$6:$F$8</xm:f>
          </x14:formula1>
          <xm:sqref>E39:J39</xm:sqref>
        </x14:dataValidation>
        <x14:dataValidation type="list" allowBlank="1" showInputMessage="1" showErrorMessage="1" xr:uid="{00000000-0002-0000-0000-000001000000}">
          <x14:formula1>
            <xm:f>Sheet3!$C$6:$C$10</xm:f>
          </x14:formula1>
          <xm:sqref>I14:I35</xm:sqref>
        </x14:dataValidation>
        <x14:dataValidation type="list" allowBlank="1" showInputMessage="1" showErrorMessage="1" xr:uid="{00000000-0002-0000-0000-000002000000}">
          <x14:formula1>
            <xm:f>Sheet3!$E$6:$E$8</xm:f>
          </x14:formula1>
          <xm:sqref>K14:K35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BC8DA-580A-492E-AC6A-F858A6B38AEC}">
  <dimension ref="B5:I87"/>
  <sheetViews>
    <sheetView workbookViewId="0">
      <selection activeCell="H13" sqref="H13"/>
    </sheetView>
  </sheetViews>
  <sheetFormatPr defaultRowHeight="15" x14ac:dyDescent="0.25"/>
  <cols>
    <col min="2" max="2" width="30.140625" bestFit="1" customWidth="1"/>
    <col min="3" max="3" width="18" customWidth="1"/>
    <col min="4" max="4" width="18.7109375" customWidth="1"/>
    <col min="5" max="5" width="36" customWidth="1"/>
    <col min="6" max="6" width="16.140625" bestFit="1" customWidth="1"/>
    <col min="9" max="9" width="18.42578125" bestFit="1" customWidth="1"/>
    <col min="10" max="10" width="23.42578125" customWidth="1"/>
  </cols>
  <sheetData>
    <row r="5" spans="2:5" x14ac:dyDescent="0.25">
      <c r="B5" s="3"/>
    </row>
    <row r="6" spans="2:5" x14ac:dyDescent="0.25">
      <c r="B6" s="3" t="s">
        <v>89</v>
      </c>
      <c r="C6" t="s">
        <v>5</v>
      </c>
      <c r="D6" t="s">
        <v>4</v>
      </c>
      <c r="E6" t="s">
        <v>90</v>
      </c>
    </row>
    <row r="7" spans="2:5" x14ac:dyDescent="0.25">
      <c r="C7">
        <v>0</v>
      </c>
      <c r="D7">
        <v>0</v>
      </c>
      <c r="E7">
        <f>Table22[[#This Row],[Cantidad]]*Table22[[#This Row],[Precio Unitario]]</f>
        <v>0</v>
      </c>
    </row>
    <row r="8" spans="2:5" x14ac:dyDescent="0.25">
      <c r="C8">
        <v>0</v>
      </c>
      <c r="D8">
        <v>0</v>
      </c>
      <c r="E8">
        <f>Table22[[#This Row],[Cantidad]]*Table22[[#This Row],[Precio Unitario]]</f>
        <v>0</v>
      </c>
    </row>
    <row r="9" spans="2:5" x14ac:dyDescent="0.25">
      <c r="C9">
        <v>0</v>
      </c>
      <c r="D9">
        <v>0</v>
      </c>
      <c r="E9">
        <f>Table22[[#This Row],[Cantidad]]*Table22[[#This Row],[Precio Unitario]]</f>
        <v>0</v>
      </c>
    </row>
    <row r="10" spans="2:5" x14ac:dyDescent="0.25">
      <c r="C10">
        <v>0</v>
      </c>
      <c r="D10">
        <v>0</v>
      </c>
      <c r="E10">
        <f>Table22[[#This Row],[Cantidad]]*Table22[[#This Row],[Precio Unitario]]</f>
        <v>0</v>
      </c>
    </row>
    <row r="11" spans="2:5" x14ac:dyDescent="0.25">
      <c r="C11">
        <v>0</v>
      </c>
      <c r="D11">
        <v>0</v>
      </c>
      <c r="E11">
        <f>Table22[[#This Row],[Cantidad]]*Table22[[#This Row],[Precio Unitario]]</f>
        <v>0</v>
      </c>
    </row>
    <row r="12" spans="2:5" x14ac:dyDescent="0.25">
      <c r="C12">
        <v>0</v>
      </c>
      <c r="D12">
        <v>0</v>
      </c>
      <c r="E12">
        <f>Table22[[#This Row],[Cantidad]]*Table22[[#This Row],[Precio Unitario]]</f>
        <v>0</v>
      </c>
    </row>
    <row r="13" spans="2:5" x14ac:dyDescent="0.25">
      <c r="C13">
        <v>0</v>
      </c>
      <c r="D13">
        <v>0</v>
      </c>
      <c r="E13">
        <f>Table22[[#This Row],[Cantidad]]*Table22[[#This Row],[Precio Unitario]]</f>
        <v>0</v>
      </c>
    </row>
    <row r="14" spans="2:5" x14ac:dyDescent="0.25">
      <c r="C14">
        <v>0</v>
      </c>
      <c r="D14">
        <v>0</v>
      </c>
      <c r="E14">
        <f>Table22[[#This Row],[Cantidad]]*Table22[[#This Row],[Precio Unitario]]</f>
        <v>0</v>
      </c>
    </row>
    <row r="15" spans="2:5" x14ac:dyDescent="0.25">
      <c r="C15">
        <v>0</v>
      </c>
      <c r="D15">
        <v>0</v>
      </c>
      <c r="E15">
        <f>Table22[[#This Row],[Cantidad]]*Table22[[#This Row],[Precio Unitario]]</f>
        <v>0</v>
      </c>
    </row>
    <row r="16" spans="2:5" x14ac:dyDescent="0.25">
      <c r="C16">
        <v>0</v>
      </c>
      <c r="D16">
        <v>0</v>
      </c>
      <c r="E16">
        <f>Table22[[#This Row],[Cantidad]]*Table22[[#This Row],[Precio Unitario]]</f>
        <v>0</v>
      </c>
    </row>
    <row r="17" spans="2:5" x14ac:dyDescent="0.25">
      <c r="C17">
        <v>0</v>
      </c>
      <c r="D17">
        <v>0</v>
      </c>
      <c r="E17">
        <f>Table22[[#This Row],[Cantidad]]*Table22[[#This Row],[Precio Unitario]]</f>
        <v>0</v>
      </c>
    </row>
    <row r="18" spans="2:5" x14ac:dyDescent="0.25">
      <c r="C18">
        <v>0</v>
      </c>
      <c r="D18">
        <v>0</v>
      </c>
      <c r="E18">
        <f>Table22[[#This Row],[Cantidad]]*Table22[[#This Row],[Precio Unitario]]</f>
        <v>0</v>
      </c>
    </row>
    <row r="19" spans="2:5" x14ac:dyDescent="0.25">
      <c r="C19">
        <v>0</v>
      </c>
      <c r="D19">
        <v>0</v>
      </c>
      <c r="E19">
        <f>Table22[[#This Row],[Cantidad]]*Table22[[#This Row],[Precio Unitario]]</f>
        <v>0</v>
      </c>
    </row>
    <row r="20" spans="2:5" x14ac:dyDescent="0.25">
      <c r="D20" s="22" t="s">
        <v>90</v>
      </c>
      <c r="E20" s="22">
        <f>SUM(E7:E19)</f>
        <v>0</v>
      </c>
    </row>
    <row r="21" spans="2:5" x14ac:dyDescent="0.25">
      <c r="E21">
        <f>Table22[[#Totals],[Total]]*1.3</f>
        <v>0</v>
      </c>
    </row>
    <row r="24" spans="2:5" x14ac:dyDescent="0.25">
      <c r="B24" t="s">
        <v>92</v>
      </c>
      <c r="C24" t="s">
        <v>5</v>
      </c>
      <c r="D24" t="s">
        <v>4</v>
      </c>
      <c r="E24" t="s">
        <v>90</v>
      </c>
    </row>
    <row r="25" spans="2:5" x14ac:dyDescent="0.25">
      <c r="B25">
        <v>0</v>
      </c>
      <c r="C25">
        <v>0</v>
      </c>
      <c r="D25">
        <v>0</v>
      </c>
      <c r="E25">
        <f>Table37[[#This Row],[Cantidad]]*Table37[[#This Row],[Precio Unitario]]</f>
        <v>0</v>
      </c>
    </row>
    <row r="26" spans="2:5" x14ac:dyDescent="0.25">
      <c r="B26">
        <v>0</v>
      </c>
      <c r="C26">
        <v>0</v>
      </c>
      <c r="D26">
        <v>0</v>
      </c>
      <c r="E26">
        <f>Table37[[#This Row],[Cantidad]]*Table37[[#This Row],[Precio Unitario]]</f>
        <v>0</v>
      </c>
    </row>
    <row r="27" spans="2:5" x14ac:dyDescent="0.25">
      <c r="B27">
        <v>0</v>
      </c>
      <c r="C27">
        <v>0</v>
      </c>
      <c r="D27">
        <v>0</v>
      </c>
      <c r="E27">
        <f>Table37[[#This Row],[Cantidad]]*Table37[[#This Row],[Precio Unitario]]</f>
        <v>0</v>
      </c>
    </row>
    <row r="28" spans="2:5" x14ac:dyDescent="0.25">
      <c r="B28">
        <v>0</v>
      </c>
      <c r="C28">
        <v>0</v>
      </c>
      <c r="D28">
        <v>0</v>
      </c>
      <c r="E28">
        <f>Table37[[#This Row],[Cantidad]]*Table37[[#This Row],[Precio Unitario]]</f>
        <v>0</v>
      </c>
    </row>
    <row r="29" spans="2:5" x14ac:dyDescent="0.25">
      <c r="B29">
        <v>0</v>
      </c>
      <c r="C29">
        <v>0</v>
      </c>
      <c r="D29">
        <v>0</v>
      </c>
      <c r="E29">
        <f>Table37[[#This Row],[Cantidad]]*Table37[[#This Row],[Precio Unitario]]</f>
        <v>0</v>
      </c>
    </row>
    <row r="30" spans="2:5" x14ac:dyDescent="0.25">
      <c r="B30">
        <v>0</v>
      </c>
      <c r="C30">
        <v>0</v>
      </c>
      <c r="D30">
        <v>0</v>
      </c>
      <c r="E30">
        <f>Table37[[#This Row],[Cantidad]]*Table37[[#This Row],[Precio Unitario]]</f>
        <v>0</v>
      </c>
    </row>
    <row r="31" spans="2:5" x14ac:dyDescent="0.25">
      <c r="B31">
        <v>0</v>
      </c>
      <c r="C31">
        <v>0</v>
      </c>
      <c r="D31">
        <v>0</v>
      </c>
      <c r="E31">
        <f>Table37[[#This Row],[Cantidad]]*Table37[[#This Row],[Precio Unitario]]</f>
        <v>0</v>
      </c>
    </row>
    <row r="32" spans="2:5" x14ac:dyDescent="0.25">
      <c r="B32">
        <v>0</v>
      </c>
      <c r="C32">
        <v>0</v>
      </c>
      <c r="D32">
        <v>0</v>
      </c>
      <c r="E32">
        <f>Table37[[#This Row],[Cantidad]]*Table37[[#This Row],[Precio Unitario]]</f>
        <v>0</v>
      </c>
    </row>
    <row r="33" spans="2:5" x14ac:dyDescent="0.25">
      <c r="D33" s="22" t="s">
        <v>90</v>
      </c>
      <c r="E33" s="22">
        <f>SUBTOTAL(109,Table37[Total])</f>
        <v>0</v>
      </c>
    </row>
    <row r="37" spans="2:5" x14ac:dyDescent="0.25">
      <c r="B37" t="s">
        <v>93</v>
      </c>
      <c r="C37" t="s">
        <v>5</v>
      </c>
      <c r="D37" t="s">
        <v>4</v>
      </c>
      <c r="E37" t="s">
        <v>90</v>
      </c>
    </row>
    <row r="38" spans="2:5" x14ac:dyDescent="0.25">
      <c r="B38">
        <v>0</v>
      </c>
      <c r="C38">
        <v>0</v>
      </c>
      <c r="D38">
        <v>0</v>
      </c>
      <c r="E38">
        <f>Table410[[#This Row],[Cantidad]]*Table410[[#This Row],[Precio Unitario]]</f>
        <v>0</v>
      </c>
    </row>
    <row r="39" spans="2:5" x14ac:dyDescent="0.25">
      <c r="B39">
        <v>0</v>
      </c>
      <c r="C39">
        <v>0</v>
      </c>
      <c r="D39">
        <v>0</v>
      </c>
      <c r="E39">
        <f>Table410[[#This Row],[Cantidad]]*Table410[[#This Row],[Precio Unitario]]</f>
        <v>0</v>
      </c>
    </row>
    <row r="40" spans="2:5" x14ac:dyDescent="0.25">
      <c r="B40">
        <v>0</v>
      </c>
      <c r="C40">
        <v>0</v>
      </c>
      <c r="D40">
        <v>0</v>
      </c>
      <c r="E40">
        <f>Table410[[#This Row],[Cantidad]]*Table410[[#This Row],[Precio Unitario]]</f>
        <v>0</v>
      </c>
    </row>
    <row r="41" spans="2:5" x14ac:dyDescent="0.25">
      <c r="B41">
        <v>0</v>
      </c>
      <c r="C41">
        <v>0</v>
      </c>
      <c r="D41">
        <v>0</v>
      </c>
      <c r="E41">
        <f>Table410[[#This Row],[Cantidad]]*Table410[[#This Row],[Precio Unitario]]</f>
        <v>0</v>
      </c>
    </row>
    <row r="42" spans="2:5" x14ac:dyDescent="0.25">
      <c r="B42">
        <v>0</v>
      </c>
      <c r="C42">
        <v>0</v>
      </c>
      <c r="D42">
        <v>0</v>
      </c>
      <c r="E42">
        <f>Table410[[#This Row],[Cantidad]]*Table410[[#This Row],[Precio Unitario]]</f>
        <v>0</v>
      </c>
    </row>
    <row r="43" spans="2:5" x14ac:dyDescent="0.25">
      <c r="B43">
        <v>0</v>
      </c>
      <c r="C43">
        <v>0</v>
      </c>
      <c r="D43">
        <v>0</v>
      </c>
      <c r="E43">
        <f>Table410[[#This Row],[Cantidad]]*Table410[[#This Row],[Precio Unitario]]</f>
        <v>0</v>
      </c>
    </row>
    <row r="44" spans="2:5" x14ac:dyDescent="0.25">
      <c r="B44">
        <v>0</v>
      </c>
      <c r="C44">
        <v>0</v>
      </c>
      <c r="D44">
        <v>0</v>
      </c>
      <c r="E44">
        <f>Table410[[#This Row],[Cantidad]]*Table410[[#This Row],[Precio Unitario]]</f>
        <v>0</v>
      </c>
    </row>
    <row r="45" spans="2:5" x14ac:dyDescent="0.25">
      <c r="B45">
        <v>0</v>
      </c>
      <c r="D45" s="22" t="s">
        <v>90</v>
      </c>
      <c r="E45" s="22">
        <f>SUBTOTAL(109,Table410[Total])</f>
        <v>0</v>
      </c>
    </row>
    <row r="51" spans="2:5" x14ac:dyDescent="0.25">
      <c r="B51" t="s">
        <v>94</v>
      </c>
      <c r="C51" t="s">
        <v>95</v>
      </c>
      <c r="D51" t="s">
        <v>96</v>
      </c>
      <c r="E51" t="s">
        <v>90</v>
      </c>
    </row>
    <row r="52" spans="2:5" x14ac:dyDescent="0.25">
      <c r="B52" t="s">
        <v>97</v>
      </c>
      <c r="C52">
        <v>0</v>
      </c>
      <c r="D52">
        <v>0</v>
      </c>
      <c r="E52">
        <f>Table511[[#This Row],[Costo Hr]]*Table511[[#This Row],[Qty Hrs]]</f>
        <v>0</v>
      </c>
    </row>
    <row r="53" spans="2:5" x14ac:dyDescent="0.25">
      <c r="B53" t="s">
        <v>91</v>
      </c>
      <c r="C53">
        <v>0</v>
      </c>
      <c r="D53">
        <v>0</v>
      </c>
      <c r="E53">
        <f>Table511[[#This Row],[Costo Hr]]*Table511[[#This Row],[Qty Hrs]]</f>
        <v>0</v>
      </c>
    </row>
    <row r="54" spans="2:5" x14ac:dyDescent="0.25">
      <c r="B54" t="s">
        <v>98</v>
      </c>
      <c r="C54">
        <v>0</v>
      </c>
      <c r="D54">
        <v>0</v>
      </c>
      <c r="E54">
        <f>Table511[[#This Row],[Costo Hr]]*Table511[[#This Row],[Qty Hrs]]</f>
        <v>0</v>
      </c>
    </row>
    <row r="55" spans="2:5" x14ac:dyDescent="0.25">
      <c r="B55" t="s">
        <v>99</v>
      </c>
      <c r="C55">
        <v>0</v>
      </c>
      <c r="D55">
        <v>0</v>
      </c>
      <c r="E55">
        <f>Table511[[#This Row],[Costo Hr]]*Table511[[#This Row],[Qty Hrs]]</f>
        <v>0</v>
      </c>
    </row>
    <row r="56" spans="2:5" x14ac:dyDescent="0.25">
      <c r="E56">
        <f>Table511[[#This Row],[Costo Hr]]*Table511[[#This Row],[Qty Hrs]]</f>
        <v>0</v>
      </c>
    </row>
    <row r="57" spans="2:5" x14ac:dyDescent="0.25">
      <c r="D57" s="23" t="s">
        <v>90</v>
      </c>
      <c r="E57" s="23">
        <f>SUBTOTAL(109,E52:E56)</f>
        <v>0</v>
      </c>
    </row>
    <row r="61" spans="2:5" x14ac:dyDescent="0.25">
      <c r="E61" s="24">
        <f>E57+E45+Table37[[#Totals],[Total]]+Table22[[#Totals],[Total]]</f>
        <v>0</v>
      </c>
    </row>
    <row r="74" spans="4:9" x14ac:dyDescent="0.25">
      <c r="D74" t="s">
        <v>100</v>
      </c>
      <c r="E74" t="s">
        <v>101</v>
      </c>
      <c r="I74">
        <f>E21+Table37[[#Totals],[Total]]+E45+Table511[[#Totals],[Total]]</f>
        <v>0</v>
      </c>
    </row>
    <row r="75" spans="4:9" x14ac:dyDescent="0.25">
      <c r="D75" t="s">
        <v>89</v>
      </c>
      <c r="E75">
        <f>Table22[[#Totals],[Total]]</f>
        <v>0</v>
      </c>
    </row>
    <row r="76" spans="4:9" x14ac:dyDescent="0.25">
      <c r="D76" t="s">
        <v>92</v>
      </c>
      <c r="E76">
        <f>Table37[[#Totals],[Total]]</f>
        <v>0</v>
      </c>
    </row>
    <row r="77" spans="4:9" x14ac:dyDescent="0.25">
      <c r="D77" t="s">
        <v>102</v>
      </c>
      <c r="E77">
        <f>E45</f>
        <v>0</v>
      </c>
    </row>
    <row r="78" spans="4:9" x14ac:dyDescent="0.25">
      <c r="D78" t="s">
        <v>103</v>
      </c>
      <c r="E78">
        <f>E57</f>
        <v>0</v>
      </c>
    </row>
    <row r="80" spans="4:9" x14ac:dyDescent="0.25">
      <c r="D80" t="s">
        <v>90</v>
      </c>
      <c r="E80" s="25" t="s">
        <v>101</v>
      </c>
    </row>
    <row r="81" spans="4:5" x14ac:dyDescent="0.25">
      <c r="D81" t="s">
        <v>90</v>
      </c>
      <c r="E81" s="25">
        <f>E75+E76+E77+E78</f>
        <v>0</v>
      </c>
    </row>
    <row r="82" spans="4:5" x14ac:dyDescent="0.25">
      <c r="D82" s="26" t="s">
        <v>107</v>
      </c>
      <c r="E82" s="25">
        <f>E81*0.3</f>
        <v>0</v>
      </c>
    </row>
    <row r="83" spans="4:5" x14ac:dyDescent="0.25">
      <c r="D83" s="27" t="s">
        <v>104</v>
      </c>
      <c r="E83" s="28">
        <f>SUM(E81:E82)</f>
        <v>0</v>
      </c>
    </row>
    <row r="86" spans="4:5" ht="15.75" thickBot="1" x14ac:dyDescent="0.3">
      <c r="D86" s="29" t="s">
        <v>105</v>
      </c>
      <c r="E86" s="29">
        <v>20</v>
      </c>
    </row>
    <row r="87" spans="4:5" ht="15.75" thickBot="1" x14ac:dyDescent="0.3">
      <c r="D87" s="30" t="s">
        <v>106</v>
      </c>
      <c r="E87" s="31">
        <f>E83*E86</f>
        <v>0</v>
      </c>
    </row>
  </sheetData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E2626-0985-4F03-80B0-9AD61B674DDB}">
  <dimension ref="A1:X29"/>
  <sheetViews>
    <sheetView topLeftCell="A43" workbookViewId="0">
      <selection activeCell="I15" sqref="I15"/>
    </sheetView>
  </sheetViews>
  <sheetFormatPr defaultRowHeight="15" x14ac:dyDescent="0.25"/>
  <cols>
    <col min="3" max="3" width="11.42578125" customWidth="1"/>
    <col min="4" max="4" width="11" customWidth="1"/>
    <col min="5" max="5" width="10.7109375" customWidth="1"/>
    <col min="6" max="6" width="22.7109375" customWidth="1"/>
    <col min="7" max="8" width="11" customWidth="1"/>
    <col min="9" max="9" width="17.85546875" bestFit="1" customWidth="1"/>
    <col min="10" max="10" width="15.28515625" customWidth="1"/>
    <col min="12" max="12" width="15.140625" customWidth="1"/>
    <col min="14" max="14" width="14" customWidth="1"/>
    <col min="15" max="15" width="14.7109375" bestFit="1" customWidth="1"/>
    <col min="17" max="18" width="15.7109375" customWidth="1"/>
    <col min="19" max="19" width="11" customWidth="1"/>
    <col min="20" max="20" width="18.42578125" customWidth="1"/>
    <col min="21" max="21" width="11" customWidth="1"/>
  </cols>
  <sheetData>
    <row r="1" spans="1:24" ht="15.75" x14ac:dyDescent="0.25">
      <c r="A1" s="32"/>
      <c r="B1" s="32"/>
      <c r="C1" s="33"/>
      <c r="D1" s="34"/>
      <c r="E1" s="32"/>
      <c r="F1" s="32"/>
      <c r="G1" s="32"/>
      <c r="H1" s="32"/>
      <c r="I1" s="32" t="s">
        <v>108</v>
      </c>
      <c r="J1" s="32">
        <v>35</v>
      </c>
      <c r="K1" s="32"/>
      <c r="L1" s="32"/>
      <c r="M1" s="32"/>
      <c r="N1" s="32"/>
      <c r="O1" s="32"/>
      <c r="P1" s="32"/>
      <c r="Q1" s="35"/>
      <c r="R1" s="35"/>
      <c r="S1" s="32"/>
      <c r="T1" s="32"/>
      <c r="U1" s="32"/>
      <c r="V1" s="32"/>
      <c r="W1" s="32"/>
      <c r="X1" s="32"/>
    </row>
    <row r="2" spans="1:24" ht="15.75" x14ac:dyDescent="0.25">
      <c r="A2" s="32"/>
      <c r="B2" s="32"/>
      <c r="C2" s="33"/>
      <c r="D2" s="34"/>
      <c r="E2" s="32"/>
      <c r="F2" s="32"/>
      <c r="G2" s="32"/>
      <c r="H2" s="32"/>
      <c r="I2" s="32" t="s">
        <v>109</v>
      </c>
      <c r="J2" s="32">
        <v>45</v>
      </c>
      <c r="K2" s="32"/>
      <c r="L2" s="32"/>
      <c r="M2" s="32"/>
      <c r="N2" s="32" t="s">
        <v>110</v>
      </c>
      <c r="O2" s="32">
        <v>20</v>
      </c>
      <c r="P2" s="32"/>
      <c r="Q2" s="35"/>
      <c r="R2" s="35"/>
      <c r="S2" s="32"/>
      <c r="T2" s="32"/>
      <c r="U2" s="32"/>
      <c r="V2" s="32"/>
      <c r="W2" s="32"/>
      <c r="X2" s="32"/>
    </row>
    <row r="3" spans="1:24" ht="15.75" x14ac:dyDescent="0.25">
      <c r="A3" s="32"/>
      <c r="B3" s="32"/>
      <c r="C3" s="32"/>
      <c r="D3" s="34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5"/>
      <c r="R3" s="35"/>
      <c r="S3" s="32"/>
      <c r="T3" s="32"/>
      <c r="U3" s="32"/>
      <c r="V3" s="32"/>
      <c r="W3" s="32"/>
      <c r="X3" s="32"/>
    </row>
    <row r="4" spans="1:24" ht="15.75" x14ac:dyDescent="0.25">
      <c r="A4" s="32"/>
      <c r="B4" s="32"/>
      <c r="C4" s="33"/>
      <c r="D4" s="34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5"/>
      <c r="R4" s="35"/>
      <c r="S4" s="32"/>
      <c r="T4" s="32"/>
      <c r="U4" s="32"/>
      <c r="V4" s="32"/>
      <c r="W4" s="32"/>
      <c r="X4" s="32"/>
    </row>
    <row r="5" spans="1:24" ht="15.75" x14ac:dyDescent="0.25">
      <c r="A5" s="32"/>
      <c r="B5" s="32"/>
      <c r="C5" s="32"/>
      <c r="D5" s="34"/>
      <c r="E5" s="32"/>
      <c r="F5" s="36" t="s">
        <v>111</v>
      </c>
      <c r="G5" s="36" t="s">
        <v>112</v>
      </c>
      <c r="H5" s="36" t="s">
        <v>113</v>
      </c>
      <c r="I5" s="32"/>
      <c r="J5" s="32"/>
      <c r="K5" s="32"/>
      <c r="L5" s="32"/>
      <c r="M5" s="32"/>
      <c r="N5" s="32"/>
      <c r="O5" s="32"/>
      <c r="P5" s="32"/>
      <c r="Q5" s="35"/>
      <c r="R5" s="35"/>
      <c r="S5" s="32"/>
      <c r="T5" s="32"/>
      <c r="U5" s="32"/>
      <c r="V5" s="32"/>
      <c r="W5" s="32"/>
      <c r="X5" s="32"/>
    </row>
    <row r="6" spans="1:24" ht="15.75" x14ac:dyDescent="0.25">
      <c r="A6" s="32" t="s">
        <v>114</v>
      </c>
      <c r="B6" s="37" t="s">
        <v>115</v>
      </c>
      <c r="C6" s="38" t="s">
        <v>116</v>
      </c>
      <c r="D6" s="39" t="s">
        <v>5</v>
      </c>
      <c r="E6" s="37" t="s">
        <v>117</v>
      </c>
      <c r="F6" s="40" t="s">
        <v>118</v>
      </c>
      <c r="G6" s="40" t="s">
        <v>128</v>
      </c>
      <c r="H6" s="40" t="s">
        <v>129</v>
      </c>
      <c r="I6" s="37" t="s">
        <v>119</v>
      </c>
      <c r="J6" s="37" t="s">
        <v>120</v>
      </c>
      <c r="K6" s="40" t="s">
        <v>121</v>
      </c>
      <c r="L6" s="40" t="s">
        <v>108</v>
      </c>
      <c r="M6" s="40" t="s">
        <v>122</v>
      </c>
      <c r="N6" s="37" t="s">
        <v>123</v>
      </c>
      <c r="O6" s="37" t="s">
        <v>130</v>
      </c>
      <c r="P6" s="37" t="s">
        <v>131</v>
      </c>
      <c r="Q6" s="53" t="s">
        <v>124</v>
      </c>
      <c r="R6" s="41" t="s">
        <v>90</v>
      </c>
      <c r="S6" s="37" t="s">
        <v>132</v>
      </c>
      <c r="T6" s="37" t="s">
        <v>125</v>
      </c>
      <c r="U6" s="37" t="s">
        <v>133</v>
      </c>
      <c r="V6" s="3"/>
      <c r="W6" s="3"/>
      <c r="X6" s="3"/>
    </row>
    <row r="7" spans="1:24" ht="15.75" x14ac:dyDescent="0.25">
      <c r="A7" s="32"/>
      <c r="B7" s="42" t="s">
        <v>140</v>
      </c>
      <c r="C7" s="43"/>
      <c r="D7" s="44"/>
      <c r="E7" s="3"/>
      <c r="F7" s="3"/>
      <c r="G7" s="3"/>
      <c r="H7" s="3"/>
      <c r="I7" s="44"/>
      <c r="J7" s="3"/>
      <c r="K7" s="3"/>
      <c r="L7" s="3"/>
      <c r="M7" s="3"/>
      <c r="N7" s="3"/>
      <c r="O7" s="3"/>
      <c r="P7" s="3"/>
      <c r="Q7" s="4"/>
      <c r="R7" s="4"/>
      <c r="S7" s="3"/>
      <c r="T7" s="3"/>
      <c r="U7" s="3">
        <f>Table7[[#This Row],[Total]]*O$2</f>
        <v>0</v>
      </c>
      <c r="V7" s="3"/>
      <c r="W7" s="3"/>
      <c r="X7" s="3"/>
    </row>
    <row r="8" spans="1:24" ht="15.75" x14ac:dyDescent="0.25">
      <c r="A8" s="32"/>
      <c r="B8" s="3"/>
      <c r="C8" s="45"/>
      <c r="D8" s="44"/>
      <c r="E8" s="3"/>
      <c r="F8" s="3"/>
      <c r="G8" s="3"/>
      <c r="H8" s="3"/>
      <c r="I8" s="44"/>
      <c r="J8" s="3"/>
      <c r="K8" s="3"/>
      <c r="L8" s="3"/>
      <c r="M8" s="3"/>
      <c r="N8" s="3"/>
      <c r="O8">
        <f>I8+(J8*J$2)+(K8*J$2)+(L8*J$1)+(M8*J$2)+N8</f>
        <v>0</v>
      </c>
      <c r="Q8" s="54">
        <f>O8*1.3</f>
        <v>0</v>
      </c>
      <c r="R8" s="46">
        <f>Table7[[#This Row],[P. Unit (30%)]]*D8</f>
        <v>0</v>
      </c>
      <c r="S8" s="3"/>
      <c r="T8">
        <f>Q8*O$2</f>
        <v>0</v>
      </c>
      <c r="U8" s="3">
        <f>Table7[[#This Row],[Total]]*O$2</f>
        <v>0</v>
      </c>
      <c r="V8" s="3"/>
      <c r="W8" s="3"/>
      <c r="X8" s="3"/>
    </row>
    <row r="9" spans="1:24" ht="15.75" x14ac:dyDescent="0.25">
      <c r="A9" s="32">
        <v>1</v>
      </c>
      <c r="C9" s="47"/>
      <c r="D9" s="48"/>
      <c r="F9" s="49"/>
      <c r="G9" s="49"/>
      <c r="H9" s="49"/>
      <c r="I9" s="48"/>
      <c r="O9">
        <f>I9+(J9*J$2)+(K9*J$2)+(L9*J$1)+(M9*J$2)+N9</f>
        <v>0</v>
      </c>
      <c r="Q9" s="54">
        <f>O9*1.3</f>
        <v>0</v>
      </c>
      <c r="R9" s="46">
        <f>Table7[[#This Row],[P. Unit (30%)]]*D9</f>
        <v>0</v>
      </c>
      <c r="T9">
        <f t="shared" ref="T9:T28" si="0">Q9*O$2</f>
        <v>0</v>
      </c>
      <c r="U9">
        <f>Table7[[#This Row],[Total]]*O$2</f>
        <v>0</v>
      </c>
      <c r="X9">
        <f>((F9^2)+(G9^2))^(1/2)</f>
        <v>0</v>
      </c>
    </row>
    <row r="10" spans="1:24" ht="15.75" x14ac:dyDescent="0.25">
      <c r="A10" s="32">
        <v>2</v>
      </c>
      <c r="C10" s="47"/>
      <c r="D10" s="48"/>
      <c r="F10" s="49"/>
      <c r="G10" s="49"/>
      <c r="H10" s="49"/>
      <c r="I10" s="48"/>
      <c r="O10">
        <f t="shared" ref="O10:O28" si="1">I10+(J10*J$2)+(K10*J$2)+(L10*J$1)+(M10*J$2)+N10</f>
        <v>0</v>
      </c>
      <c r="Q10" s="54">
        <f t="shared" ref="Q10:Q28" si="2">O10*1.3</f>
        <v>0</v>
      </c>
      <c r="R10" s="46">
        <f>Table7[[#This Row],[P. Unit (30%)]]*D10</f>
        <v>0</v>
      </c>
      <c r="T10">
        <f t="shared" si="0"/>
        <v>0</v>
      </c>
      <c r="U10">
        <f>Table7[[#This Row],[Total]]*O$2</f>
        <v>0</v>
      </c>
      <c r="X10">
        <f t="shared" ref="X10:X28" si="3">((F10^2)+(G10^2))^(1/2)</f>
        <v>0</v>
      </c>
    </row>
    <row r="11" spans="1:24" ht="15.75" x14ac:dyDescent="0.25">
      <c r="A11" s="32">
        <v>3</v>
      </c>
      <c r="C11" s="47"/>
      <c r="D11" s="48"/>
      <c r="F11" s="49"/>
      <c r="G11" s="49"/>
      <c r="H11" s="49"/>
      <c r="I11" s="48"/>
      <c r="J11" s="50"/>
      <c r="K11" s="50"/>
      <c r="L11" s="50"/>
      <c r="M11" s="50"/>
      <c r="O11">
        <f t="shared" si="1"/>
        <v>0</v>
      </c>
      <c r="Q11" s="54">
        <f t="shared" si="2"/>
        <v>0</v>
      </c>
      <c r="R11" s="46">
        <f>Table7[[#This Row],[P. Unit (30%)]]*D11</f>
        <v>0</v>
      </c>
      <c r="T11">
        <f t="shared" si="0"/>
        <v>0</v>
      </c>
      <c r="U11">
        <f>Table7[[#This Row],[Total]]*O$2</f>
        <v>0</v>
      </c>
      <c r="X11">
        <f t="shared" si="3"/>
        <v>0</v>
      </c>
    </row>
    <row r="12" spans="1:24" ht="15.75" x14ac:dyDescent="0.25">
      <c r="A12" s="32">
        <v>4</v>
      </c>
      <c r="C12" s="47"/>
      <c r="D12" s="48"/>
      <c r="F12" s="49"/>
      <c r="G12" s="49"/>
      <c r="H12" s="49"/>
      <c r="I12" s="48"/>
      <c r="J12" s="50"/>
      <c r="K12" s="50"/>
      <c r="L12" s="50"/>
      <c r="M12" s="50"/>
      <c r="N12" s="50"/>
      <c r="O12">
        <f t="shared" si="1"/>
        <v>0</v>
      </c>
      <c r="Q12" s="54">
        <f t="shared" si="2"/>
        <v>0</v>
      </c>
      <c r="R12" s="46">
        <f>Table7[[#This Row],[P. Unit (30%)]]*D12</f>
        <v>0</v>
      </c>
      <c r="T12">
        <f t="shared" si="0"/>
        <v>0</v>
      </c>
      <c r="U12">
        <f>Table7[[#This Row],[Total]]*O$2</f>
        <v>0</v>
      </c>
      <c r="X12">
        <f t="shared" si="3"/>
        <v>0</v>
      </c>
    </row>
    <row r="13" spans="1:24" ht="15.75" x14ac:dyDescent="0.25">
      <c r="A13" s="32">
        <v>5</v>
      </c>
      <c r="C13" s="47"/>
      <c r="D13" s="48"/>
      <c r="F13" s="49"/>
      <c r="G13" s="49"/>
      <c r="H13" s="49"/>
      <c r="I13" s="48"/>
      <c r="J13" s="50"/>
      <c r="K13" s="50"/>
      <c r="L13" s="50"/>
      <c r="M13" s="50"/>
      <c r="N13" s="50"/>
      <c r="O13">
        <f t="shared" si="1"/>
        <v>0</v>
      </c>
      <c r="Q13" s="54">
        <f t="shared" si="2"/>
        <v>0</v>
      </c>
      <c r="R13" s="46">
        <f>Table7[[#This Row],[P. Unit (30%)]]*D13</f>
        <v>0</v>
      </c>
      <c r="T13">
        <f t="shared" si="0"/>
        <v>0</v>
      </c>
      <c r="U13">
        <f>Table7[[#This Row],[Total]]*O$2</f>
        <v>0</v>
      </c>
      <c r="X13">
        <f t="shared" si="3"/>
        <v>0</v>
      </c>
    </row>
    <row r="14" spans="1:24" ht="15.75" x14ac:dyDescent="0.25">
      <c r="A14" s="32">
        <v>6</v>
      </c>
      <c r="C14" s="47"/>
      <c r="D14" s="48"/>
      <c r="F14" s="49"/>
      <c r="G14" s="49"/>
      <c r="H14" s="49"/>
      <c r="I14" s="48"/>
      <c r="J14" s="50"/>
      <c r="K14" s="50"/>
      <c r="L14" s="50"/>
      <c r="M14" s="50"/>
      <c r="N14" s="50"/>
      <c r="O14">
        <f>I14+(J14*J$2)+(K14*J$2)+(L14*J$1)+(M14*J$2)+N14</f>
        <v>0</v>
      </c>
      <c r="Q14" s="54">
        <f>O14*1.3</f>
        <v>0</v>
      </c>
      <c r="R14" s="95">
        <f>Table7[[#This Row],[P. Unit (30%)]]*D14</f>
        <v>0</v>
      </c>
      <c r="T14">
        <f>Q14*O$2</f>
        <v>0</v>
      </c>
      <c r="U14" s="96">
        <f>Table7[[#This Row],[Total]]*O$2</f>
        <v>0</v>
      </c>
    </row>
    <row r="15" spans="1:24" ht="15.75" x14ac:dyDescent="0.25">
      <c r="A15" s="32">
        <v>7</v>
      </c>
      <c r="C15" s="47"/>
      <c r="D15" s="48"/>
      <c r="F15" s="49"/>
      <c r="G15" s="49"/>
      <c r="H15" s="49"/>
      <c r="I15" s="48"/>
      <c r="J15" s="50"/>
      <c r="K15" s="50"/>
      <c r="L15" s="50"/>
      <c r="M15" s="50"/>
      <c r="N15" s="50"/>
      <c r="O15">
        <f>I15+(J15*J$2)+(K15*J$2)+(L15*J$1)+(M15*J$2)+N15</f>
        <v>0</v>
      </c>
      <c r="Q15" s="54">
        <f>O15*1.3</f>
        <v>0</v>
      </c>
      <c r="R15" s="95">
        <f>Table7[[#This Row],[P. Unit (30%)]]*D15</f>
        <v>0</v>
      </c>
      <c r="T15">
        <f>Q15*O$2</f>
        <v>0</v>
      </c>
      <c r="U15" s="96">
        <f>Table7[[#This Row],[Total]]*O$2</f>
        <v>0</v>
      </c>
    </row>
    <row r="16" spans="1:24" ht="15.75" x14ac:dyDescent="0.25">
      <c r="A16" s="32">
        <v>8</v>
      </c>
      <c r="C16" s="47"/>
      <c r="D16" s="48"/>
      <c r="F16" s="49"/>
      <c r="G16" s="49"/>
      <c r="H16" s="49"/>
      <c r="I16" s="48"/>
      <c r="J16" s="50"/>
      <c r="K16" s="50"/>
      <c r="L16" s="50"/>
      <c r="M16" s="50"/>
      <c r="N16" s="50"/>
      <c r="O16">
        <f>I16+(J16*J$2)+(K16*J$2)+(L16*J$1)+(M16*J$2)+N16</f>
        <v>0</v>
      </c>
      <c r="Q16" s="54">
        <f>O16*1.3</f>
        <v>0</v>
      </c>
      <c r="R16" s="95">
        <f>Table7[[#This Row],[P. Unit (30%)]]*D16</f>
        <v>0</v>
      </c>
      <c r="T16">
        <f>Q16*O$2</f>
        <v>0</v>
      </c>
      <c r="U16" s="96">
        <f>Table7[[#This Row],[Total]]*O$2</f>
        <v>0</v>
      </c>
    </row>
    <row r="17" spans="1:24" ht="15.75" x14ac:dyDescent="0.25">
      <c r="A17" s="32">
        <v>9</v>
      </c>
      <c r="C17" s="47"/>
      <c r="D17" s="48"/>
      <c r="F17" s="49"/>
      <c r="G17" s="49"/>
      <c r="H17" s="49"/>
      <c r="I17" s="48"/>
      <c r="J17" s="50"/>
      <c r="K17" s="50"/>
      <c r="L17" s="50"/>
      <c r="M17" s="50"/>
      <c r="N17" s="50"/>
      <c r="O17">
        <f>I17+(J17*J$2)+(K17*J$2)+(L17*J$1)+(M17*J$2)+N17</f>
        <v>0</v>
      </c>
      <c r="Q17" s="54">
        <f>O17*1.3</f>
        <v>0</v>
      </c>
      <c r="R17" s="95">
        <f>Table7[[#This Row],[P. Unit (30%)]]*D17</f>
        <v>0</v>
      </c>
      <c r="T17">
        <f>Q17*O$2</f>
        <v>0</v>
      </c>
      <c r="U17" s="96">
        <f>Table7[[#This Row],[Total]]*O$2</f>
        <v>0</v>
      </c>
    </row>
    <row r="18" spans="1:24" ht="15.75" x14ac:dyDescent="0.25">
      <c r="A18" s="32">
        <v>10</v>
      </c>
      <c r="C18" s="47"/>
      <c r="D18" s="48"/>
      <c r="F18" s="49"/>
      <c r="G18" s="49"/>
      <c r="H18" s="49"/>
      <c r="I18" s="48"/>
      <c r="J18" s="50"/>
      <c r="K18" s="50"/>
      <c r="L18" s="50"/>
      <c r="M18" s="50"/>
      <c r="N18" s="50"/>
      <c r="O18">
        <f>I18+(J18*J$2)+(K18*J$2)+(L18*J$1)+(M18*J$2)+N18</f>
        <v>0</v>
      </c>
      <c r="Q18" s="54">
        <f>O18*1.3</f>
        <v>0</v>
      </c>
      <c r="R18" s="95">
        <f>Table7[[#This Row],[P. Unit (30%)]]*D18</f>
        <v>0</v>
      </c>
      <c r="T18">
        <f>Q18*O$2</f>
        <v>0</v>
      </c>
      <c r="U18" s="96">
        <f>Table7[[#This Row],[Total]]*O$2</f>
        <v>0</v>
      </c>
    </row>
    <row r="19" spans="1:24" ht="15.75" x14ac:dyDescent="0.25">
      <c r="A19" s="32">
        <v>11</v>
      </c>
      <c r="C19" s="47"/>
      <c r="D19" s="48"/>
      <c r="F19" s="49"/>
      <c r="G19" s="49"/>
      <c r="H19" s="49"/>
      <c r="I19" s="48"/>
      <c r="J19" s="50"/>
      <c r="K19" s="50"/>
      <c r="L19" s="50"/>
      <c r="M19" s="50"/>
      <c r="N19" s="50"/>
      <c r="O19">
        <f t="shared" si="1"/>
        <v>0</v>
      </c>
      <c r="Q19" s="54">
        <f t="shared" si="2"/>
        <v>0</v>
      </c>
      <c r="R19" s="46">
        <f>Table7[[#This Row],[P. Unit (30%)]]*D19</f>
        <v>0</v>
      </c>
      <c r="T19">
        <f t="shared" si="0"/>
        <v>0</v>
      </c>
      <c r="U19">
        <f>Table7[[#This Row],[Total]]*O$2</f>
        <v>0</v>
      </c>
      <c r="X19">
        <f t="shared" si="3"/>
        <v>0</v>
      </c>
    </row>
    <row r="20" spans="1:24" ht="15.75" x14ac:dyDescent="0.25">
      <c r="A20" s="32">
        <v>12</v>
      </c>
      <c r="C20" s="47"/>
      <c r="D20" s="48"/>
      <c r="F20" s="49"/>
      <c r="G20" s="49"/>
      <c r="H20" s="49"/>
      <c r="I20" s="48"/>
      <c r="J20" s="50"/>
      <c r="K20" s="50"/>
      <c r="L20" s="50"/>
      <c r="M20" s="50"/>
      <c r="N20" s="50"/>
      <c r="O20">
        <f>I20+(J20*J$2)+(K20*J$2)+(L20*J$1)+(M20*J$2)+N20</f>
        <v>0</v>
      </c>
      <c r="Q20" s="54">
        <f>O20*1.3</f>
        <v>0</v>
      </c>
      <c r="R20" s="95">
        <f>Table7[[#This Row],[P. Unit (30%)]]*D20</f>
        <v>0</v>
      </c>
      <c r="T20">
        <f>Q20*O$2</f>
        <v>0</v>
      </c>
      <c r="U20" s="96">
        <f>Table7[[#This Row],[Total]]*O$2</f>
        <v>0</v>
      </c>
    </row>
    <row r="21" spans="1:24" ht="15.75" x14ac:dyDescent="0.25">
      <c r="A21" s="32">
        <v>13</v>
      </c>
      <c r="C21" s="47"/>
      <c r="D21" s="48"/>
      <c r="F21" s="49"/>
      <c r="G21" s="49"/>
      <c r="H21" s="49"/>
      <c r="I21" s="48"/>
      <c r="J21" s="50"/>
      <c r="K21" s="50"/>
      <c r="L21" s="50"/>
      <c r="M21" s="50"/>
      <c r="N21" s="50"/>
      <c r="O21">
        <f>I21+(J21*J$2)+(K21*J$2)+(L21*J$1)+(M21*J$2)+N21</f>
        <v>0</v>
      </c>
      <c r="Q21" s="54">
        <f>O21*1.3</f>
        <v>0</v>
      </c>
      <c r="R21" s="95">
        <f>Table7[[#This Row],[P. Unit (30%)]]*D21</f>
        <v>0</v>
      </c>
      <c r="T21">
        <f>Q21*O$2</f>
        <v>0</v>
      </c>
      <c r="U21" s="96">
        <f>Table7[[#This Row],[Total]]*O$2</f>
        <v>0</v>
      </c>
    </row>
    <row r="22" spans="1:24" ht="15.75" x14ac:dyDescent="0.25">
      <c r="A22" s="32">
        <v>14</v>
      </c>
      <c r="C22" s="47"/>
      <c r="D22" s="48"/>
      <c r="F22" s="49"/>
      <c r="G22" s="49"/>
      <c r="H22" s="49"/>
      <c r="I22" s="48"/>
      <c r="J22" s="50"/>
      <c r="K22" s="50"/>
      <c r="L22" s="50"/>
      <c r="M22" s="50"/>
      <c r="N22" s="50"/>
      <c r="O22">
        <f>I22+(J22*J$2)+(K22*J$2)+(L22*J$1)+(M22*J$2)+N22</f>
        <v>0</v>
      </c>
      <c r="Q22" s="54">
        <f>O22*1.3</f>
        <v>0</v>
      </c>
      <c r="R22" s="95">
        <f>Table7[[#This Row],[P. Unit (30%)]]*D22</f>
        <v>0</v>
      </c>
      <c r="T22">
        <f>Q22*O$2</f>
        <v>0</v>
      </c>
      <c r="U22" s="96">
        <f>Table7[[#This Row],[Total]]*O$2</f>
        <v>0</v>
      </c>
    </row>
    <row r="23" spans="1:24" ht="15.75" x14ac:dyDescent="0.25">
      <c r="A23" s="32">
        <v>15</v>
      </c>
      <c r="C23" s="47"/>
      <c r="D23" s="48"/>
      <c r="F23" s="49"/>
      <c r="G23" s="49"/>
      <c r="H23" s="49"/>
      <c r="I23" s="48"/>
      <c r="J23" s="50"/>
      <c r="K23" s="50"/>
      <c r="L23" s="50"/>
      <c r="M23" s="50"/>
      <c r="N23" s="50"/>
      <c r="O23">
        <f>I23+(J23*J$2)+(K23*J$2)+(L23*J$1)+(M23*J$2)+N23</f>
        <v>0</v>
      </c>
      <c r="Q23" s="54">
        <f>O23*1.3</f>
        <v>0</v>
      </c>
      <c r="R23" s="95">
        <f>Table7[[#This Row],[P. Unit (30%)]]*D23</f>
        <v>0</v>
      </c>
      <c r="T23">
        <f>Q23*O$2</f>
        <v>0</v>
      </c>
      <c r="U23" s="96">
        <f>Table7[[#This Row],[Total]]*O$2</f>
        <v>0</v>
      </c>
    </row>
    <row r="24" spans="1:24" ht="15.75" x14ac:dyDescent="0.25">
      <c r="A24" s="32">
        <v>16</v>
      </c>
      <c r="C24" s="47"/>
      <c r="D24" s="48"/>
      <c r="F24" s="49"/>
      <c r="G24" s="49"/>
      <c r="H24" s="49"/>
      <c r="I24" s="48"/>
      <c r="J24" s="50"/>
      <c r="K24" s="50"/>
      <c r="L24" s="50"/>
      <c r="M24" s="50"/>
      <c r="N24" s="50"/>
      <c r="O24">
        <f t="shared" si="1"/>
        <v>0</v>
      </c>
      <c r="Q24" s="54">
        <f t="shared" si="2"/>
        <v>0</v>
      </c>
      <c r="R24" s="46">
        <f>Table7[[#This Row],[P. Unit (30%)]]*D24</f>
        <v>0</v>
      </c>
      <c r="T24">
        <f t="shared" si="0"/>
        <v>0</v>
      </c>
      <c r="U24">
        <f>Table7[[#This Row],[Total]]*O$2</f>
        <v>0</v>
      </c>
      <c r="X24">
        <f t="shared" si="3"/>
        <v>0</v>
      </c>
    </row>
    <row r="25" spans="1:24" ht="15.75" x14ac:dyDescent="0.25">
      <c r="A25" s="32">
        <v>17</v>
      </c>
      <c r="C25" s="47"/>
      <c r="D25" s="48"/>
      <c r="F25" s="49"/>
      <c r="G25" s="49"/>
      <c r="H25" s="49"/>
      <c r="I25" s="48"/>
      <c r="J25" s="50"/>
      <c r="K25" s="50"/>
      <c r="L25" s="50"/>
      <c r="M25" s="50"/>
      <c r="N25" s="50"/>
      <c r="O25">
        <f t="shared" si="1"/>
        <v>0</v>
      </c>
      <c r="Q25" s="54">
        <f t="shared" si="2"/>
        <v>0</v>
      </c>
      <c r="R25" s="46">
        <f>Table7[[#This Row],[P. Unit (30%)]]*D25</f>
        <v>0</v>
      </c>
      <c r="T25">
        <f t="shared" si="0"/>
        <v>0</v>
      </c>
      <c r="U25">
        <f>Table7[[#This Row],[Total]]*O$2</f>
        <v>0</v>
      </c>
      <c r="X25">
        <f t="shared" si="3"/>
        <v>0</v>
      </c>
    </row>
    <row r="26" spans="1:24" ht="15.75" x14ac:dyDescent="0.25">
      <c r="A26" s="32">
        <v>18</v>
      </c>
      <c r="C26" s="47"/>
      <c r="D26" s="48"/>
      <c r="F26" s="49"/>
      <c r="G26" s="49"/>
      <c r="H26" s="49"/>
      <c r="I26" s="48"/>
      <c r="J26" s="50"/>
      <c r="K26" s="50"/>
      <c r="L26" s="50"/>
      <c r="M26" s="50"/>
      <c r="N26" s="50"/>
      <c r="O26">
        <f>I26+(J26*J$2)+(K26*J$2)+(L26*J$1)+(M26*J$2)+N26</f>
        <v>0</v>
      </c>
      <c r="Q26" s="54">
        <f>O26*1.3</f>
        <v>0</v>
      </c>
      <c r="R26" s="95">
        <f>Table7[[#This Row],[P. Unit (30%)]]*D26</f>
        <v>0</v>
      </c>
      <c r="T26">
        <f>Q26*O$2</f>
        <v>0</v>
      </c>
      <c r="U26" s="96">
        <f>Table7[[#This Row],[Total]]*O$2</f>
        <v>0</v>
      </c>
    </row>
    <row r="27" spans="1:24" ht="15.75" x14ac:dyDescent="0.25">
      <c r="A27" s="32">
        <v>19</v>
      </c>
      <c r="C27" s="47"/>
      <c r="D27" s="48"/>
      <c r="F27" s="49"/>
      <c r="G27" s="49"/>
      <c r="H27" s="49"/>
      <c r="I27" s="48"/>
      <c r="J27" s="50"/>
      <c r="K27" s="50"/>
      <c r="L27" s="50"/>
      <c r="M27" s="50"/>
      <c r="N27" s="50"/>
      <c r="O27">
        <f t="shared" si="1"/>
        <v>0</v>
      </c>
      <c r="Q27" s="54">
        <f t="shared" si="2"/>
        <v>0</v>
      </c>
      <c r="R27" s="46">
        <f>Table7[[#This Row],[P. Unit (30%)]]*D27</f>
        <v>0</v>
      </c>
      <c r="T27">
        <f t="shared" si="0"/>
        <v>0</v>
      </c>
      <c r="U27">
        <f>Table7[[#This Row],[Total]]*O$2</f>
        <v>0</v>
      </c>
      <c r="X27">
        <f t="shared" si="3"/>
        <v>0</v>
      </c>
    </row>
    <row r="28" spans="1:24" ht="15.75" x14ac:dyDescent="0.25">
      <c r="A28" s="32">
        <v>20</v>
      </c>
      <c r="C28" s="47"/>
      <c r="D28" s="48"/>
      <c r="F28" s="49"/>
      <c r="G28" s="49"/>
      <c r="H28" s="49"/>
      <c r="I28" s="48"/>
      <c r="J28" s="50"/>
      <c r="K28" s="50"/>
      <c r="L28" s="50"/>
      <c r="M28" s="50"/>
      <c r="N28" s="50"/>
      <c r="O28">
        <f t="shared" si="1"/>
        <v>0</v>
      </c>
      <c r="Q28" s="54">
        <f t="shared" si="2"/>
        <v>0</v>
      </c>
      <c r="R28" s="46">
        <f>Table7[[#This Row],[P. Unit (30%)]]*D28</f>
        <v>0</v>
      </c>
      <c r="T28">
        <f t="shared" si="0"/>
        <v>0</v>
      </c>
      <c r="U28">
        <f>Table7[[#This Row],[Total]]*O$2</f>
        <v>0</v>
      </c>
      <c r="X28">
        <f t="shared" si="3"/>
        <v>0</v>
      </c>
    </row>
    <row r="29" spans="1:24" ht="15.75" x14ac:dyDescent="0.25">
      <c r="A29" s="32"/>
      <c r="C29" s="47"/>
      <c r="D29" s="48"/>
      <c r="F29" s="49"/>
      <c r="G29" s="49"/>
      <c r="H29" s="49"/>
      <c r="I29" s="48"/>
      <c r="J29" s="50"/>
      <c r="K29" s="50"/>
      <c r="L29" s="50"/>
      <c r="M29" s="50"/>
      <c r="N29" s="50"/>
      <c r="Q29" s="46"/>
      <c r="R29" s="95">
        <f>SUBTOTAL(109,Table7[Total])</f>
        <v>0</v>
      </c>
      <c r="U29" s="96">
        <f>SUBTOTAL(109,Table7[Column4])</f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5:F10"/>
  <sheetViews>
    <sheetView workbookViewId="0">
      <selection activeCell="E16" sqref="E16"/>
    </sheetView>
  </sheetViews>
  <sheetFormatPr defaultRowHeight="15" x14ac:dyDescent="0.25"/>
  <cols>
    <col min="1" max="1" width="19" bestFit="1" customWidth="1"/>
    <col min="3" max="3" width="17.5703125" customWidth="1"/>
    <col min="5" max="5" width="26.85546875" customWidth="1"/>
    <col min="6" max="6" width="46.28515625" customWidth="1"/>
  </cols>
  <sheetData>
    <row r="5" spans="1:6" x14ac:dyDescent="0.25">
      <c r="A5" t="s">
        <v>75</v>
      </c>
      <c r="C5" t="s">
        <v>66</v>
      </c>
      <c r="E5" t="s">
        <v>72</v>
      </c>
      <c r="F5" t="s">
        <v>76</v>
      </c>
    </row>
    <row r="6" spans="1:6" x14ac:dyDescent="0.25">
      <c r="C6" t="s">
        <v>67</v>
      </c>
      <c r="E6" t="s">
        <v>78</v>
      </c>
      <c r="F6" s="2" t="s">
        <v>84</v>
      </c>
    </row>
    <row r="7" spans="1:6" x14ac:dyDescent="0.25">
      <c r="A7" t="s">
        <v>74</v>
      </c>
      <c r="C7" t="s">
        <v>68</v>
      </c>
      <c r="E7" t="s">
        <v>77</v>
      </c>
      <c r="F7" s="2" t="s">
        <v>136</v>
      </c>
    </row>
    <row r="8" spans="1:6" x14ac:dyDescent="0.25">
      <c r="C8" t="s">
        <v>69</v>
      </c>
      <c r="F8" s="2" t="s">
        <v>139</v>
      </c>
    </row>
    <row r="9" spans="1:6" x14ac:dyDescent="0.25">
      <c r="C9" t="s">
        <v>71</v>
      </c>
    </row>
    <row r="10" spans="1:6" x14ac:dyDescent="0.25">
      <c r="C10" t="s">
        <v>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6:K81"/>
  <sheetViews>
    <sheetView workbookViewId="0">
      <selection activeCell="K9" sqref="K9"/>
    </sheetView>
  </sheetViews>
  <sheetFormatPr defaultRowHeight="15" x14ac:dyDescent="0.25"/>
  <cols>
    <col min="3" max="3" width="57.85546875" customWidth="1"/>
    <col min="8" max="8" width="40.28515625" customWidth="1"/>
  </cols>
  <sheetData>
    <row r="6" spans="2:11" x14ac:dyDescent="0.25">
      <c r="B6" s="7"/>
      <c r="C6" s="8" t="s">
        <v>6</v>
      </c>
    </row>
    <row r="7" spans="2:11" x14ac:dyDescent="0.25">
      <c r="B7" s="7"/>
      <c r="C7" s="8" t="s">
        <v>7</v>
      </c>
    </row>
    <row r="8" spans="2:11" x14ac:dyDescent="0.25">
      <c r="B8" s="7"/>
      <c r="C8" s="8" t="s">
        <v>8</v>
      </c>
    </row>
    <row r="9" spans="2:11" ht="141" customHeight="1" x14ac:dyDescent="0.25">
      <c r="B9" s="7"/>
      <c r="C9" s="8" t="s">
        <v>9</v>
      </c>
      <c r="H9" s="18" t="s">
        <v>79</v>
      </c>
      <c r="K9" s="19" t="s">
        <v>80</v>
      </c>
    </row>
    <row r="10" spans="2:11" x14ac:dyDescent="0.25">
      <c r="B10" s="7"/>
      <c r="C10" s="9"/>
    </row>
    <row r="11" spans="2:11" x14ac:dyDescent="0.25">
      <c r="B11" s="7"/>
      <c r="C11" s="10" t="s">
        <v>10</v>
      </c>
    </row>
    <row r="12" spans="2:11" x14ac:dyDescent="0.25">
      <c r="B12" s="7"/>
      <c r="C12" s="10" t="s">
        <v>11</v>
      </c>
    </row>
    <row r="13" spans="2:11" x14ac:dyDescent="0.25">
      <c r="B13" s="7"/>
      <c r="C13" s="8" t="s">
        <v>12</v>
      </c>
    </row>
    <row r="14" spans="2:11" x14ac:dyDescent="0.25">
      <c r="B14" s="7"/>
      <c r="C14" s="9" t="s">
        <v>13</v>
      </c>
    </row>
    <row r="15" spans="2:11" x14ac:dyDescent="0.25">
      <c r="B15" s="7"/>
      <c r="C15" s="9" t="s">
        <v>14</v>
      </c>
    </row>
    <row r="16" spans="2:11" x14ac:dyDescent="0.25">
      <c r="B16" s="7"/>
      <c r="C16" s="8" t="s">
        <v>15</v>
      </c>
    </row>
    <row r="17" spans="2:3" x14ac:dyDescent="0.25">
      <c r="B17" s="7"/>
      <c r="C17" s="9"/>
    </row>
    <row r="18" spans="2:3" ht="30" x14ac:dyDescent="0.25">
      <c r="B18" s="7"/>
      <c r="C18" s="10" t="s">
        <v>16</v>
      </c>
    </row>
    <row r="19" spans="2:3" ht="30" x14ac:dyDescent="0.25">
      <c r="B19" s="7"/>
      <c r="C19" s="10" t="s">
        <v>17</v>
      </c>
    </row>
    <row r="20" spans="2:3" x14ac:dyDescent="0.25">
      <c r="B20" s="7"/>
      <c r="C20" s="9" t="s">
        <v>18</v>
      </c>
    </row>
    <row r="21" spans="2:3" x14ac:dyDescent="0.25">
      <c r="B21" s="7"/>
      <c r="C21" s="9"/>
    </row>
    <row r="22" spans="2:3" x14ac:dyDescent="0.25">
      <c r="B22" s="7"/>
      <c r="C22" s="10" t="s">
        <v>19</v>
      </c>
    </row>
    <row r="23" spans="2:3" ht="30" x14ac:dyDescent="0.25">
      <c r="B23" s="7"/>
      <c r="C23" s="9" t="s">
        <v>20</v>
      </c>
    </row>
    <row r="24" spans="2:3" x14ac:dyDescent="0.25">
      <c r="B24" s="7"/>
      <c r="C24" s="9"/>
    </row>
    <row r="25" spans="2:3" ht="30" x14ac:dyDescent="0.25">
      <c r="B25" s="7"/>
      <c r="C25" s="10" t="s">
        <v>21</v>
      </c>
    </row>
    <row r="26" spans="2:3" ht="30" x14ac:dyDescent="0.25">
      <c r="B26" s="7"/>
      <c r="C26" s="9" t="s">
        <v>22</v>
      </c>
    </row>
    <row r="27" spans="2:3" x14ac:dyDescent="0.25">
      <c r="B27" s="7"/>
      <c r="C27" s="9"/>
    </row>
    <row r="28" spans="2:3" ht="30" x14ac:dyDescent="0.25">
      <c r="B28" s="7"/>
      <c r="C28" s="10" t="s">
        <v>23</v>
      </c>
    </row>
    <row r="29" spans="2:3" x14ac:dyDescent="0.25">
      <c r="B29" s="7"/>
      <c r="C29" s="10" t="s">
        <v>24</v>
      </c>
    </row>
    <row r="30" spans="2:3" x14ac:dyDescent="0.25">
      <c r="B30" s="7"/>
      <c r="C30" s="8" t="s">
        <v>25</v>
      </c>
    </row>
    <row r="31" spans="2:3" x14ac:dyDescent="0.25">
      <c r="B31" s="7"/>
      <c r="C31" s="9" t="s">
        <v>26</v>
      </c>
    </row>
    <row r="32" spans="2:3" x14ac:dyDescent="0.25">
      <c r="B32" s="7"/>
      <c r="C32" s="9" t="s">
        <v>27</v>
      </c>
    </row>
    <row r="33" spans="2:3" x14ac:dyDescent="0.25">
      <c r="B33" s="7"/>
      <c r="C33" s="9" t="s">
        <v>28</v>
      </c>
    </row>
    <row r="34" spans="2:3" x14ac:dyDescent="0.25">
      <c r="B34" s="7"/>
      <c r="C34" s="9" t="s">
        <v>29</v>
      </c>
    </row>
    <row r="35" spans="2:3" x14ac:dyDescent="0.25">
      <c r="B35" s="7"/>
      <c r="C35" s="9" t="s">
        <v>30</v>
      </c>
    </row>
    <row r="36" spans="2:3" x14ac:dyDescent="0.25">
      <c r="B36" s="7"/>
      <c r="C36" s="9" t="s">
        <v>31</v>
      </c>
    </row>
    <row r="37" spans="2:3" x14ac:dyDescent="0.25">
      <c r="B37" s="7"/>
      <c r="C37" s="9" t="s">
        <v>32</v>
      </c>
    </row>
    <row r="38" spans="2:3" x14ac:dyDescent="0.25">
      <c r="B38" s="7"/>
      <c r="C38" s="9"/>
    </row>
    <row r="39" spans="2:3" x14ac:dyDescent="0.25">
      <c r="B39" s="7"/>
      <c r="C39" s="10" t="s">
        <v>33</v>
      </c>
    </row>
    <row r="40" spans="2:3" x14ac:dyDescent="0.25">
      <c r="B40" s="7"/>
      <c r="C40" s="8" t="s">
        <v>34</v>
      </c>
    </row>
    <row r="41" spans="2:3" x14ac:dyDescent="0.25">
      <c r="B41" s="7"/>
      <c r="C41" s="10" t="s">
        <v>35</v>
      </c>
    </row>
    <row r="42" spans="2:3" x14ac:dyDescent="0.25">
      <c r="B42" s="7"/>
      <c r="C42" s="8" t="s">
        <v>36</v>
      </c>
    </row>
    <row r="43" spans="2:3" x14ac:dyDescent="0.25">
      <c r="B43" s="7"/>
      <c r="C43" s="9"/>
    </row>
    <row r="44" spans="2:3" ht="30" x14ac:dyDescent="0.25">
      <c r="B44" s="7"/>
      <c r="C44" s="8" t="s">
        <v>37</v>
      </c>
    </row>
    <row r="45" spans="2:3" x14ac:dyDescent="0.25">
      <c r="B45" s="7"/>
      <c r="C45" s="10" t="s">
        <v>38</v>
      </c>
    </row>
    <row r="46" spans="2:3" x14ac:dyDescent="0.25">
      <c r="B46" s="7"/>
      <c r="C46" s="8" t="s">
        <v>39</v>
      </c>
    </row>
    <row r="47" spans="2:3" x14ac:dyDescent="0.25">
      <c r="B47" s="7"/>
      <c r="C47" s="8" t="s">
        <v>40</v>
      </c>
    </row>
    <row r="48" spans="2:3" ht="30" x14ac:dyDescent="0.25">
      <c r="B48" s="7"/>
      <c r="C48" s="9" t="s">
        <v>41</v>
      </c>
    </row>
    <row r="49" spans="2:3" ht="30" x14ac:dyDescent="0.25">
      <c r="B49" s="7"/>
      <c r="C49" s="9" t="s">
        <v>42</v>
      </c>
    </row>
    <row r="50" spans="2:3" ht="30" x14ac:dyDescent="0.25">
      <c r="B50" s="7"/>
      <c r="C50" s="9" t="s">
        <v>43</v>
      </c>
    </row>
    <row r="51" spans="2:3" ht="30" x14ac:dyDescent="0.25">
      <c r="B51" s="7"/>
      <c r="C51" s="9" t="s">
        <v>44</v>
      </c>
    </row>
    <row r="52" spans="2:3" ht="30" x14ac:dyDescent="0.25">
      <c r="B52" s="7"/>
      <c r="C52" s="9" t="s">
        <v>45</v>
      </c>
    </row>
    <row r="53" spans="2:3" ht="30" x14ac:dyDescent="0.25">
      <c r="B53" s="7"/>
      <c r="C53" s="9" t="s">
        <v>46</v>
      </c>
    </row>
    <row r="54" spans="2:3" x14ac:dyDescent="0.25">
      <c r="B54" s="7"/>
      <c r="C54" s="9" t="s">
        <v>47</v>
      </c>
    </row>
    <row r="55" spans="2:3" ht="30" x14ac:dyDescent="0.25">
      <c r="B55" s="7"/>
      <c r="C55" s="9" t="s">
        <v>48</v>
      </c>
    </row>
    <row r="56" spans="2:3" x14ac:dyDescent="0.25">
      <c r="B56" s="7"/>
      <c r="C56" s="9" t="s">
        <v>49</v>
      </c>
    </row>
    <row r="57" spans="2:3" x14ac:dyDescent="0.25">
      <c r="B57" s="7"/>
      <c r="C57" s="8" t="s">
        <v>15</v>
      </c>
    </row>
    <row r="58" spans="2:3" x14ac:dyDescent="0.25">
      <c r="B58" s="7"/>
      <c r="C58" s="8" t="s">
        <v>50</v>
      </c>
    </row>
    <row r="59" spans="2:3" x14ac:dyDescent="0.25">
      <c r="B59" s="7"/>
      <c r="C59" s="9"/>
    </row>
    <row r="60" spans="2:3" ht="30" x14ac:dyDescent="0.25">
      <c r="B60" s="7"/>
      <c r="C60" s="10" t="s">
        <v>51</v>
      </c>
    </row>
    <row r="61" spans="2:3" ht="30" x14ac:dyDescent="0.25">
      <c r="B61" s="7"/>
      <c r="C61" s="10" t="s">
        <v>52</v>
      </c>
    </row>
    <row r="62" spans="2:3" x14ac:dyDescent="0.25">
      <c r="B62" s="7"/>
      <c r="C62" s="9" t="s">
        <v>53</v>
      </c>
    </row>
    <row r="63" spans="2:3" x14ac:dyDescent="0.25">
      <c r="B63" s="7"/>
      <c r="C63" s="9"/>
    </row>
    <row r="64" spans="2:3" x14ac:dyDescent="0.25">
      <c r="B64" s="7"/>
      <c r="C64" s="10" t="s">
        <v>54</v>
      </c>
    </row>
    <row r="65" spans="2:3" x14ac:dyDescent="0.25">
      <c r="B65" s="7"/>
      <c r="C65" s="8" t="s">
        <v>55</v>
      </c>
    </row>
    <row r="66" spans="2:3" x14ac:dyDescent="0.25">
      <c r="B66" s="7"/>
      <c r="C66" s="8" t="s">
        <v>56</v>
      </c>
    </row>
    <row r="67" spans="2:3" x14ac:dyDescent="0.25">
      <c r="B67" s="7"/>
      <c r="C67" s="9"/>
    </row>
    <row r="68" spans="2:3" x14ac:dyDescent="0.25">
      <c r="B68" s="7"/>
      <c r="C68" s="10" t="s">
        <v>57</v>
      </c>
    </row>
    <row r="69" spans="2:3" x14ac:dyDescent="0.25">
      <c r="B69" s="7"/>
      <c r="C69" s="10" t="s">
        <v>58</v>
      </c>
    </row>
    <row r="70" spans="2:3" x14ac:dyDescent="0.25">
      <c r="B70" s="7"/>
      <c r="C70" s="8" t="s">
        <v>12</v>
      </c>
    </row>
    <row r="71" spans="2:3" x14ac:dyDescent="0.25">
      <c r="B71" s="7"/>
      <c r="C71" s="9" t="s">
        <v>59</v>
      </c>
    </row>
    <row r="72" spans="2:3" x14ac:dyDescent="0.25">
      <c r="B72" s="7"/>
      <c r="C72" s="9" t="s">
        <v>60</v>
      </c>
    </row>
    <row r="73" spans="2:3" x14ac:dyDescent="0.25">
      <c r="B73" s="7"/>
      <c r="C73" s="8" t="s">
        <v>15</v>
      </c>
    </row>
    <row r="74" spans="2:3" x14ac:dyDescent="0.25">
      <c r="B74" s="7"/>
      <c r="C74" s="9"/>
    </row>
    <row r="75" spans="2:3" x14ac:dyDescent="0.25">
      <c r="B75" s="7"/>
      <c r="C75" s="8" t="s">
        <v>61</v>
      </c>
    </row>
    <row r="76" spans="2:3" x14ac:dyDescent="0.25">
      <c r="B76" s="7"/>
      <c r="C76" s="9"/>
    </row>
    <row r="77" spans="2:3" ht="30" x14ac:dyDescent="0.25">
      <c r="B77" s="7"/>
      <c r="C77" s="10" t="s">
        <v>62</v>
      </c>
    </row>
    <row r="78" spans="2:3" x14ac:dyDescent="0.25">
      <c r="B78" s="7"/>
      <c r="C78" s="9" t="s">
        <v>63</v>
      </c>
    </row>
    <row r="79" spans="2:3" x14ac:dyDescent="0.25">
      <c r="B79" s="7"/>
      <c r="C79" s="9" t="s">
        <v>64</v>
      </c>
    </row>
    <row r="80" spans="2:3" x14ac:dyDescent="0.25">
      <c r="B80" s="7"/>
      <c r="C80" s="9"/>
    </row>
    <row r="81" spans="2:3" x14ac:dyDescent="0.25">
      <c r="B81" s="7"/>
      <c r="C81" s="8" t="s">
        <v>65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Cotización</vt:lpstr>
      <vt:lpstr>Tabla de Costos</vt:lpstr>
      <vt:lpstr>Costos Maquinado</vt:lpstr>
      <vt:lpstr>Sheet3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Omar Guerrero Cuautle</dc:creator>
  <cp:lastModifiedBy>Omar Guerrero Cuautle</cp:lastModifiedBy>
  <cp:lastPrinted>2023-08-01T18:22:02Z</cp:lastPrinted>
  <dcterms:created xsi:type="dcterms:W3CDTF">2017-12-22T20:34:59Z</dcterms:created>
  <dcterms:modified xsi:type="dcterms:W3CDTF">2025-01-02T17:39:43Z</dcterms:modified>
</cp:coreProperties>
</file>