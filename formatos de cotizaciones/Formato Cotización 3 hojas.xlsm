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cion IDM\Desktop\TALLER\1 IDM\1 IDM 2024\1 COTIZACIONES 2024\"/>
    </mc:Choice>
  </mc:AlternateContent>
  <xr:revisionPtr revIDLastSave="0" documentId="13_ncr:1_{F88DCC1D-1FEB-4F4C-803E-F021C3C38AB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otización" sheetId="1" r:id="rId1"/>
    <sheet name="Tabla de Costos" sheetId="5" r:id="rId2"/>
    <sheet name="Costos Maquinados" sheetId="4" r:id="rId3"/>
    <sheet name="Sheet3" sheetId="3" r:id="rId4"/>
    <sheet name="Sheet2" sheetId="2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3" i="1" l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M92" i="1"/>
  <c r="L92" i="1"/>
  <c r="L85" i="1"/>
  <c r="M85" i="1"/>
  <c r="L82" i="1"/>
  <c r="M82" i="1"/>
  <c r="L83" i="1"/>
  <c r="M83" i="1"/>
  <c r="L84" i="1"/>
  <c r="M84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M55" i="1"/>
  <c r="L56" i="1"/>
  <c r="L57" i="1"/>
  <c r="M57" i="1"/>
  <c r="L58" i="1"/>
  <c r="M58" i="1"/>
  <c r="L59" i="1"/>
  <c r="M59" i="1"/>
  <c r="L60" i="1"/>
  <c r="M60" i="1"/>
  <c r="L70" i="1"/>
  <c r="M70" i="1"/>
  <c r="L71" i="1"/>
  <c r="M71" i="1"/>
  <c r="L76" i="1"/>
  <c r="M76" i="1"/>
  <c r="L77" i="1"/>
  <c r="M77" i="1"/>
  <c r="L80" i="1"/>
  <c r="M80" i="1"/>
  <c r="L81" i="1"/>
  <c r="M81" i="1"/>
  <c r="X18" i="4"/>
  <c r="O18" i="4"/>
  <c r="Q18" i="4" s="1"/>
  <c r="X17" i="4"/>
  <c r="O17" i="4"/>
  <c r="Q17" i="4" s="1"/>
  <c r="X16" i="4"/>
  <c r="Q16" i="4"/>
  <c r="R16" i="4" s="1"/>
  <c r="O16" i="4"/>
  <c r="X15" i="4"/>
  <c r="O15" i="4"/>
  <c r="Q15" i="4" s="1"/>
  <c r="T15" i="4" s="1"/>
  <c r="X14" i="4"/>
  <c r="O14" i="4"/>
  <c r="Q14" i="4" s="1"/>
  <c r="T14" i="4" s="1"/>
  <c r="X13" i="4"/>
  <c r="O13" i="4"/>
  <c r="Q13" i="4" s="1"/>
  <c r="X12" i="4"/>
  <c r="O12" i="4"/>
  <c r="Q12" i="4" s="1"/>
  <c r="X11" i="4"/>
  <c r="O11" i="4"/>
  <c r="Q11" i="4" s="1"/>
  <c r="X10" i="4"/>
  <c r="O10" i="4"/>
  <c r="Q10" i="4" s="1"/>
  <c r="X9" i="4"/>
  <c r="O9" i="4"/>
  <c r="Q9" i="4" s="1"/>
  <c r="O8" i="4"/>
  <c r="Q8" i="4" s="1"/>
  <c r="D57" i="5"/>
  <c r="D56" i="5"/>
  <c r="D55" i="5"/>
  <c r="D54" i="5"/>
  <c r="D53" i="5"/>
  <c r="D45" i="5"/>
  <c r="D44" i="5"/>
  <c r="D43" i="5"/>
  <c r="D42" i="5"/>
  <c r="D41" i="5"/>
  <c r="D40" i="5"/>
  <c r="D39" i="5"/>
  <c r="D33" i="5"/>
  <c r="D32" i="5"/>
  <c r="D31" i="5"/>
  <c r="D30" i="5"/>
  <c r="D29" i="5"/>
  <c r="D28" i="5"/>
  <c r="D27" i="5"/>
  <c r="D26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E9" i="5"/>
  <c r="D9" i="5"/>
  <c r="E8" i="5"/>
  <c r="D8" i="5"/>
  <c r="E7" i="5"/>
  <c r="D7" i="5"/>
  <c r="T17" i="4" l="1"/>
  <c r="R17" i="4"/>
  <c r="T9" i="4"/>
  <c r="R9" i="4"/>
  <c r="T10" i="4"/>
  <c r="R10" i="4"/>
  <c r="T8" i="4"/>
  <c r="R8" i="4"/>
  <c r="T11" i="4"/>
  <c r="R11" i="4"/>
  <c r="R12" i="4"/>
  <c r="T12" i="4"/>
  <c r="T13" i="4"/>
  <c r="R13" i="4"/>
  <c r="T18" i="4"/>
  <c r="R18" i="4"/>
  <c r="R14" i="4"/>
  <c r="T16" i="4"/>
  <c r="R15" i="4"/>
  <c r="D34" i="5"/>
  <c r="D77" i="5" s="1"/>
  <c r="D46" i="5"/>
  <c r="D78" i="5" s="1"/>
  <c r="D58" i="5"/>
  <c r="D79" i="5" s="1"/>
  <c r="D21" i="5"/>
  <c r="D22" i="5" s="1"/>
  <c r="D62" i="5" l="1"/>
  <c r="D76" i="5"/>
  <c r="D82" i="5" s="1"/>
  <c r="D83" i="5" s="1"/>
  <c r="D84" i="5" s="1"/>
  <c r="D88" i="5" s="1"/>
</calcChain>
</file>

<file path=xl/sharedStrings.xml><?xml version="1.0" encoding="utf-8"?>
<sst xmlns="http://schemas.openxmlformats.org/spreadsheetml/2006/main" count="176" uniqueCount="140">
  <si>
    <t>Fecha:</t>
  </si>
  <si>
    <t>En atencion a:</t>
  </si>
  <si>
    <t>Ciudad:</t>
  </si>
  <si>
    <t>Nombre:</t>
  </si>
  <si>
    <t>Direccion:</t>
  </si>
  <si>
    <t>Importe</t>
  </si>
  <si>
    <t>Precio Unitario</t>
  </si>
  <si>
    <t>Cantidad</t>
  </si>
  <si>
    <r>
      <t>Sub</t>
    </r>
    <r>
      <rPr>
        <sz val="11"/>
        <color rgb="FF000000"/>
        <rFont val="Consolas"/>
        <family val="3"/>
      </rPr>
      <t> EnvioEmail_HojaActiva_comoPDF()</t>
    </r>
  </si>
  <si>
    <r>
      <t>Dim</t>
    </r>
    <r>
      <rPr>
        <sz val="11"/>
        <color rgb="FF000000"/>
        <rFont val="Consolas"/>
        <family val="3"/>
      </rPr>
      <t> olApp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</si>
  <si>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olMail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</si>
  <si>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RutaTemporal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NombreFicheroTemporal 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RutaCompleta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</si>
  <si>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'deshabilitamos el refresco de pantalla</t>
  </si>
  <si>
    <t>'y muy importante los eventos!</t>
  </si>
  <si>
    <r>
      <t>With</t>
    </r>
    <r>
      <rPr>
        <sz val="11"/>
        <color rgb="FF000000"/>
        <rFont val="Consolas"/>
        <family val="3"/>
      </rPr>
      <t> Application</t>
    </r>
  </si>
  <si>
    <r>
      <t>    .ScreenUpdating = </t>
    </r>
    <r>
      <rPr>
        <b/>
        <sz val="11"/>
        <color rgb="FF006699"/>
        <rFont val="Consolas"/>
        <family val="3"/>
      </rPr>
      <t>False</t>
    </r>
  </si>
  <si>
    <r>
      <t>    .EnableEvents = </t>
    </r>
    <r>
      <rPr>
        <b/>
        <sz val="11"/>
        <color rgb="FF006699"/>
        <rFont val="Consolas"/>
        <family val="3"/>
      </rPr>
      <t>False</t>
    </r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</si>
  <si>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With</t>
    </r>
  </si>
  <si>
    <t>'Definimos una variable que será la Ruta donde guardaremos,</t>
  </si>
  <si>
    <t>'antes de enviar como adjunto, el pdf que generaremos...</t>
  </si>
  <si>
    <r>
      <t>RutaTemporal = Environ$(</t>
    </r>
    <r>
      <rPr>
        <sz val="11"/>
        <color rgb="FF0000FF"/>
        <rFont val="Consolas"/>
        <family val="3"/>
      </rPr>
      <t>"temp"</t>
    </r>
    <r>
      <rPr>
        <sz val="11"/>
        <color rgb="FF000000"/>
        <rFont val="Consolas"/>
        <family val="3"/>
      </rPr>
      <t>) &amp; "\"</t>
    </r>
  </si>
  <si>
    <t>'Generamos el nombre del fichero temporal .Pdf</t>
  </si>
  <si>
    <r>
      <t>NombreFicheroTemporal = ActiveSheet.Name &amp; </t>
    </r>
    <r>
      <rPr>
        <sz val="11"/>
        <color rgb="FF0000FF"/>
        <rFont val="Consolas"/>
        <family val="3"/>
      </rPr>
      <t>".pdf"</t>
    </r>
  </si>
  <si>
    <t>'Combinando las dos variables anteriores, tendremos la Ruta Completa de nuestro .pdf</t>
  </si>
  <si>
    <t>RutaCompleta = RutaTemporal &amp; NombreFicheroTemporal</t>
  </si>
  <si>
    <t>'Depuramos posibles errores a la hora de Exportar</t>
  </si>
  <si>
    <t>' a la ruta anterior, la hoja activa como PDF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</si>
  <si>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err</t>
    </r>
  </si>
  <si>
    <t>ActiveSheet.ExportAsFixedFormat _</t>
  </si>
  <si>
    <t>        Type:=xlTypePDF, _</t>
  </si>
  <si>
    <t>        Filename:=RutaCompleta, _</t>
  </si>
  <si>
    <t>        Quality:=xlQualityStandard, _</t>
  </si>
  <si>
    <r>
      <t>        IncludeDocProperties:=</t>
    </r>
    <r>
      <rPr>
        <b/>
        <sz val="11"/>
        <color rgb="FF006699"/>
        <rFont val="Consolas"/>
        <family val="3"/>
      </rPr>
      <t>True</t>
    </r>
    <r>
      <rPr>
        <sz val="11"/>
        <color rgb="FF000000"/>
        <rFont val="Consolas"/>
        <family val="3"/>
      </rPr>
      <t>, _</t>
    </r>
  </si>
  <si>
    <r>
      <t>        IgnorePrintAreas:=</t>
    </r>
    <r>
      <rPr>
        <b/>
        <sz val="11"/>
        <color rgb="FF006699"/>
        <rFont val="Consolas"/>
        <family val="3"/>
      </rPr>
      <t>False</t>
    </r>
    <r>
      <rPr>
        <sz val="11"/>
        <color rgb="FF000000"/>
        <rFont val="Consolas"/>
        <family val="3"/>
      </rPr>
      <t>, _</t>
    </r>
  </si>
  <si>
    <r>
      <t>        OpenAfterPublish:=</t>
    </r>
    <r>
      <rPr>
        <b/>
        <sz val="11"/>
        <color rgb="FF006699"/>
        <rFont val="Consolas"/>
        <family val="3"/>
      </rPr>
      <t>False</t>
    </r>
  </si>
  <si>
    <t>'LLega el momento de abrir la aplicación Outlook</t>
  </si>
  <si>
    <r>
      <t>Set</t>
    </r>
    <r>
      <rPr>
        <sz val="11"/>
        <color rgb="FF000000"/>
        <rFont val="Consolas"/>
        <family val="3"/>
      </rPr>
      <t> olApp = CreateObject(</t>
    </r>
    <r>
      <rPr>
        <sz val="11"/>
        <color rgb="FF0000FF"/>
        <rFont val="Consolas"/>
        <family val="3"/>
      </rPr>
      <t>"Outlook.Application"</t>
    </r>
    <r>
      <rPr>
        <sz val="11"/>
        <color rgb="FF000000"/>
        <rFont val="Consolas"/>
        <family val="3"/>
      </rPr>
      <t>)</t>
    </r>
  </si>
  <si>
    <t>'y generar un nuevo email a enviar...</t>
  </si>
  <si>
    <r>
      <t>Set</t>
    </r>
    <r>
      <rPr>
        <sz val="11"/>
        <color rgb="FF000000"/>
        <rFont val="Consolas"/>
        <family val="3"/>
      </rPr>
      <t> olMail = olApp.CreateItem(0)</t>
    </r>
  </si>
  <si>
    <r>
      <t>Dim</t>
    </r>
    <r>
      <rPr>
        <sz val="11"/>
        <color rgb="FF000000"/>
        <rFont val="Consolas"/>
        <family val="3"/>
      </rPr>
      <t> destinatario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Asunto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Cuerpo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</si>
  <si>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'FALTA ASIGNAR VALORES A ESTAS VARIABLES!!!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</si>
  <si>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Resume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Next</t>
    </r>
  </si>
  <si>
    <r>
      <t>With</t>
    </r>
    <r>
      <rPr>
        <sz val="11"/>
        <color rgb="FF000000"/>
        <rFont val="Consolas"/>
        <family val="3"/>
      </rPr>
      <t> olMail</t>
    </r>
  </si>
  <si>
    <r>
      <t>    .to = destinatario          </t>
    </r>
    <r>
      <rPr>
        <sz val="11"/>
        <color rgb="FF008200"/>
        <rFont val="Consolas"/>
        <family val="3"/>
      </rPr>
      <t>'añadimos el destinatario, el Para...</t>
    </r>
  </si>
  <si>
    <r>
      <t>    </t>
    </r>
    <r>
      <rPr>
        <sz val="11"/>
        <color rgb="FF008200"/>
        <rFont val="Consolas"/>
        <family val="3"/>
      </rPr>
      <t>'.CC = destinatario         'para adjuntar destinatario en Con Copia a...</t>
    </r>
  </si>
  <si>
    <r>
      <t>    </t>
    </r>
    <r>
      <rPr>
        <sz val="11"/>
        <color rgb="FF008200"/>
        <rFont val="Consolas"/>
        <family val="3"/>
      </rPr>
      <t>'.BCC = destinatario        'para adjuntar destinatario en Con Copia Oculta a...</t>
    </r>
  </si>
  <si>
    <r>
      <t>    .Subject = Asunto        </t>
    </r>
    <r>
      <rPr>
        <sz val="11"/>
        <color rgb="FF008200"/>
        <rFont val="Consolas"/>
        <family val="3"/>
      </rPr>
      <t>'indicaríamos el Asunto</t>
    </r>
  </si>
  <si>
    <r>
      <t>    .Body = Cuerpo           </t>
    </r>
    <r>
      <rPr>
        <sz val="11"/>
        <color rgb="FF008200"/>
        <rFont val="Consolas"/>
        <family val="3"/>
      </rPr>
      <t>'indicaríamos el Cuerpo del email</t>
    </r>
  </si>
  <si>
    <r>
      <t>    </t>
    </r>
    <r>
      <rPr>
        <sz val="11"/>
        <color rgb="FF008200"/>
        <rFont val="Consolas"/>
        <family val="3"/>
      </rPr>
      <t>'adjuntamos el fichero pdf desde la ruta donde la guardamos</t>
    </r>
  </si>
  <si>
    <t>    .Attachments.Add RutaCompleta</t>
  </si>
  <si>
    <r>
      <t>    .Display    </t>
    </r>
    <r>
      <rPr>
        <sz val="11"/>
        <color rgb="FF008200"/>
        <rFont val="Consolas"/>
        <family val="3"/>
      </rPr>
      <t>'o bien usaremos .Send para enviar directamente...</t>
    </r>
  </si>
  <si>
    <r>
      <t>    </t>
    </r>
    <r>
      <rPr>
        <sz val="11"/>
        <color rgb="FF008200"/>
        <rFont val="Consolas"/>
        <family val="3"/>
      </rPr>
      <t>'.Send</t>
    </r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</si>
  <si>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0</t>
    </r>
  </si>
  <si>
    <t>'Ya que el email ha sido enviado (o mostrado) con el pdf adjuntado</t>
  </si>
  <si>
    <t>'podemos borrar el pdf que habíamos guardado (en la carpeta temporal)...</t>
  </si>
  <si>
    <t>Kill RutaCompleta</t>
  </si>
  <si>
    <t>'limpiamos las variables creadas.</t>
  </si>
  <si>
    <r>
      <t>Set</t>
    </r>
    <r>
      <rPr>
        <sz val="11"/>
        <color rgb="FF000000"/>
        <rFont val="Consolas"/>
        <family val="3"/>
      </rPr>
      <t> olMail = </t>
    </r>
    <r>
      <rPr>
        <b/>
        <sz val="11"/>
        <color rgb="FF006699"/>
        <rFont val="Consolas"/>
        <family val="3"/>
      </rPr>
      <t>Nothing</t>
    </r>
  </si>
  <si>
    <r>
      <t>Set</t>
    </r>
    <r>
      <rPr>
        <sz val="11"/>
        <color rgb="FF000000"/>
        <rFont val="Consolas"/>
        <family val="3"/>
      </rPr>
      <t> olApp = </t>
    </r>
    <r>
      <rPr>
        <b/>
        <sz val="11"/>
        <color rgb="FF006699"/>
        <rFont val="Consolas"/>
        <family val="3"/>
      </rPr>
      <t>Nothing</t>
    </r>
  </si>
  <si>
    <t>'Reestablecemos las condiciones prevías</t>
  </si>
  <si>
    <t>'refresco de pantalla y activamos loe eventos</t>
  </si>
  <si>
    <r>
      <t>    .ScreenUpdating = </t>
    </r>
    <r>
      <rPr>
        <b/>
        <sz val="11"/>
        <color rgb="FF006699"/>
        <rFont val="Consolas"/>
        <family val="3"/>
      </rPr>
      <t>True</t>
    </r>
  </si>
  <si>
    <r>
      <t>    .EnableEvents = </t>
    </r>
    <r>
      <rPr>
        <b/>
        <sz val="11"/>
        <color rgb="FF006699"/>
        <rFont val="Consolas"/>
        <family val="3"/>
      </rPr>
      <t>True</t>
    </r>
  </si>
  <si>
    <r>
      <t>Exit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</si>
  <si>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'para el control de errores en caso de exportación como Pdf...</t>
  </si>
  <si>
    <t>err:</t>
  </si>
  <si>
    <t>    MsgBox err.Description</t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</si>
  <si>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</si>
  <si>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Unidad de Medida</t>
  </si>
  <si>
    <t>Pza</t>
  </si>
  <si>
    <t>Pzas</t>
  </si>
  <si>
    <t>Set</t>
  </si>
  <si>
    <t>CD</t>
  </si>
  <si>
    <t>Sets</t>
  </si>
  <si>
    <t>Moneda</t>
  </si>
  <si>
    <t>Estos precios son en Moneda Nacional Mas Iva</t>
  </si>
  <si>
    <t>Tiempo de Entrega:</t>
  </si>
  <si>
    <t>$</t>
  </si>
  <si>
    <t>Simbolo de Moneda</t>
  </si>
  <si>
    <t>Moneda IVA</t>
  </si>
  <si>
    <t>Dlls</t>
  </si>
  <si>
    <t>MN</t>
  </si>
  <si>
    <t>Evite Imprimir este documento si no es necesario. De esta manera Ahorra Recursos. 
Cuidamos EL medio ambiente</t>
  </si>
  <si>
    <t>Esterline Advanced Sensors Mexico S. de R.L. de C.V.</t>
  </si>
  <si>
    <t>En atención a su Solicitud ponemos a su consideracion la siguiente cotización por los servicios requeridos.</t>
  </si>
  <si>
    <t>Descripción</t>
  </si>
  <si>
    <t>Seleccionar Tipo de Moneda</t>
  </si>
  <si>
    <t>Verifique que la cotización corresponda a lo solicitado.
Agradeciendo su preferencia, quedamos a sus ordenes</t>
  </si>
  <si>
    <t>Evite imprimir este documento si no es necesario, de esta manera ahorra recursos. Cuidemos el Medio ambiente.</t>
  </si>
  <si>
    <t>días hábiles a partir de su orden de compra por escrito.</t>
  </si>
  <si>
    <t>Vigencia de cotización 30 días</t>
  </si>
  <si>
    <t>Convencional</t>
  </si>
  <si>
    <t>Costo Hr CNC/EDM</t>
  </si>
  <si>
    <t>TC</t>
  </si>
  <si>
    <t>Espesor</t>
  </si>
  <si>
    <t>Ancho</t>
  </si>
  <si>
    <t>Largo</t>
  </si>
  <si>
    <t>Cot</t>
  </si>
  <si>
    <t>Name</t>
  </si>
  <si>
    <t>No Parte.</t>
  </si>
  <si>
    <t>Material</t>
  </si>
  <si>
    <t>Dimensiones Material</t>
  </si>
  <si>
    <t>Column1</t>
  </si>
  <si>
    <t>Column2</t>
  </si>
  <si>
    <t>Costo Material</t>
  </si>
  <si>
    <t>Programación</t>
  </si>
  <si>
    <t>CNC</t>
  </si>
  <si>
    <t>EDM</t>
  </si>
  <si>
    <t>Tratamiento</t>
  </si>
  <si>
    <t>Total</t>
  </si>
  <si>
    <t>P. Unit (30%)</t>
  </si>
  <si>
    <t>Moneda nacional</t>
  </si>
  <si>
    <t>Column4</t>
  </si>
  <si>
    <t>Fechas Cotizacion</t>
  </si>
  <si>
    <t>Sistema Mecanico</t>
  </si>
  <si>
    <t>Sistema Neumatico</t>
  </si>
  <si>
    <t>Mesa, estación</t>
  </si>
  <si>
    <t>Mano de Obra</t>
  </si>
  <si>
    <t>Qty Hrs</t>
  </si>
  <si>
    <t>Costo Hr</t>
  </si>
  <si>
    <t>Diseño</t>
  </si>
  <si>
    <t>Ensamble</t>
  </si>
  <si>
    <t xml:space="preserve">Ajuste Mecanico </t>
  </si>
  <si>
    <t>Visitas</t>
  </si>
  <si>
    <t>Total Costos</t>
  </si>
  <si>
    <t>Costo</t>
  </si>
  <si>
    <t>Estación</t>
  </si>
  <si>
    <t>Diseño/Ensamble</t>
  </si>
  <si>
    <t>Error 30%</t>
  </si>
  <si>
    <t>Gran Total</t>
  </si>
  <si>
    <t>T. C.</t>
  </si>
  <si>
    <t>Gran Total en Pesos</t>
  </si>
  <si>
    <t>Total sin 30%</t>
  </si>
  <si>
    <t>Column5</t>
  </si>
  <si>
    <t>-</t>
  </si>
  <si>
    <t>Esta cotización ha sido calculada en base al total de partes solicitadas, en caso de requerir una cantidad menor, favor de solicitar actualización.</t>
  </si>
  <si>
    <t>Tiempo de entrega puede variar al momento de recibir la PO.</t>
  </si>
  <si>
    <t>Estos Precios son en Dólares mas IVA</t>
  </si>
  <si>
    <t>No. Cotización</t>
  </si>
  <si>
    <t>Lázaro Cárdenas #4559
Col. Gabriel Rodríguez
Tijuana B.C.   CP.22207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</si>
</sst>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[$-1540A]dd\-mmm\-yy;@"/>
    <numFmt numFmtId="167" formatCode="0.000"/>
    <numFmt numFmtId="168" formatCode="0.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AFAFAF"/>
      <name val="Consolas"/>
      <family val="3"/>
    </font>
    <font>
      <b/>
      <sz val="11"/>
      <color rgb="FF006699"/>
      <name val="Consolas"/>
      <family val="3"/>
    </font>
    <font>
      <sz val="11"/>
      <color rgb="FF008200"/>
      <name val="Consolas"/>
      <family val="3"/>
    </font>
    <font>
      <sz val="11"/>
      <color rgb="FF0000FF"/>
      <name val="Consolas"/>
      <family val="3"/>
    </font>
    <font>
      <b/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4" tint="-0.249977111117893"/>
      <name val="Bahnschrift Light"/>
      <family val="2"/>
    </font>
    <font>
      <b/>
      <sz val="1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ck">
        <color rgb="FF6CE26C"/>
      </left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11" fillId="0" borderId="0" xfId="0" applyFont="1"/>
    <xf numFmtId="0" fontId="12" fillId="0" borderId="0" xfId="0" applyFont="1" applyAlignment="1">
      <alignment horizontal="right"/>
    </xf>
    <xf numFmtId="164" fontId="0" fillId="0" borderId="2" xfId="0" applyNumberFormat="1" applyBorder="1"/>
    <xf numFmtId="12" fontId="0" fillId="0" borderId="0" xfId="0" applyNumberFormat="1"/>
    <xf numFmtId="0" fontId="0" fillId="0" borderId="2" xfId="0" applyBorder="1" applyAlignment="1" applyProtection="1">
      <alignment horizontal="right"/>
      <protection locked="0"/>
    </xf>
    <xf numFmtId="0" fontId="0" fillId="0" borderId="3" xfId="0" applyBorder="1" applyAlignment="1" applyProtection="1">
      <alignment horizontal="left"/>
      <protection locked="0"/>
    </xf>
    <xf numFmtId="164" fontId="0" fillId="0" borderId="2" xfId="0" applyNumberFormat="1" applyBorder="1" applyProtection="1">
      <protection locked="0"/>
    </xf>
    <xf numFmtId="0" fontId="0" fillId="0" borderId="0" xfId="0" applyProtection="1">
      <protection locked="0"/>
    </xf>
    <xf numFmtId="0" fontId="12" fillId="0" borderId="0" xfId="0" applyFont="1" applyAlignment="1" applyProtection="1">
      <alignment horizontal="right"/>
      <protection locked="0"/>
    </xf>
    <xf numFmtId="0" fontId="11" fillId="0" borderId="0" xfId="0" applyFont="1" applyAlignment="1">
      <alignment horizontal="left"/>
    </xf>
    <xf numFmtId="0" fontId="0" fillId="0" borderId="0" xfId="0" applyAlignment="1">
      <alignment wrapText="1"/>
    </xf>
    <xf numFmtId="0" fontId="13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0" fontId="0" fillId="0" borderId="0" xfId="0" applyAlignment="1" applyProtection="1">
      <alignment vertical="top"/>
      <protection locked="0"/>
    </xf>
    <xf numFmtId="0" fontId="0" fillId="0" borderId="3" xfId="0" applyBorder="1" applyAlignment="1" applyProtection="1">
      <alignment vertical="top"/>
      <protection locked="0"/>
    </xf>
    <xf numFmtId="0" fontId="1" fillId="3" borderId="0" xfId="0" applyFont="1" applyFill="1"/>
    <xf numFmtId="49" fontId="1" fillId="3" borderId="0" xfId="0" applyNumberFormat="1" applyFont="1" applyFill="1"/>
    <xf numFmtId="1" fontId="1" fillId="3" borderId="0" xfId="0" applyNumberFormat="1" applyFont="1" applyFill="1"/>
    <xf numFmtId="0" fontId="2" fillId="3" borderId="0" xfId="0" applyFont="1" applyFill="1"/>
    <xf numFmtId="0" fontId="1" fillId="3" borderId="5" xfId="0" applyFont="1" applyFill="1" applyBorder="1" applyAlignment="1">
      <alignment horizontal="center"/>
    </xf>
    <xf numFmtId="0" fontId="1" fillId="4" borderId="5" xfId="0" applyFont="1" applyFill="1" applyBorder="1"/>
    <xf numFmtId="49" fontId="1" fillId="4" borderId="5" xfId="0" applyNumberFormat="1" applyFont="1" applyFill="1" applyBorder="1"/>
    <xf numFmtId="1" fontId="1" fillId="4" borderId="5" xfId="0" applyNumberFormat="1" applyFont="1" applyFill="1" applyBorder="1"/>
    <xf numFmtId="0" fontId="1" fillId="4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/>
    <xf numFmtId="1" fontId="1" fillId="0" borderId="0" xfId="0" applyNumberFormat="1" applyFont="1"/>
    <xf numFmtId="166" fontId="1" fillId="0" borderId="0" xfId="0" applyNumberFormat="1" applyFont="1"/>
    <xf numFmtId="0" fontId="2" fillId="6" borderId="0" xfId="0" applyFont="1" applyFill="1"/>
    <xf numFmtId="166" fontId="0" fillId="0" borderId="0" xfId="0" applyNumberFormat="1"/>
    <xf numFmtId="1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7" borderId="0" xfId="0" applyFill="1"/>
    <xf numFmtId="0" fontId="0" fillId="6" borderId="0" xfId="0" applyFill="1"/>
    <xf numFmtId="0" fontId="1" fillId="6" borderId="0" xfId="0" applyFont="1" applyFill="1"/>
    <xf numFmtId="165" fontId="0" fillId="0" borderId="0" xfId="0" applyNumberFormat="1"/>
    <xf numFmtId="9" fontId="0" fillId="0" borderId="0" xfId="0" applyNumberFormat="1"/>
    <xf numFmtId="0" fontId="1" fillId="8" borderId="0" xfId="0" applyFont="1" applyFill="1"/>
    <xf numFmtId="164" fontId="1" fillId="8" borderId="0" xfId="0" applyNumberFormat="1" applyFont="1" applyFill="1"/>
    <xf numFmtId="0" fontId="1" fillId="9" borderId="0" xfId="0" applyFont="1" applyFill="1"/>
    <xf numFmtId="0" fontId="18" fillId="8" borderId="6" xfId="0" applyFont="1" applyFill="1" applyBorder="1"/>
    <xf numFmtId="164" fontId="18" fillId="8" borderId="7" xfId="0" applyNumberFormat="1" applyFont="1" applyFill="1" applyBorder="1"/>
    <xf numFmtId="0" fontId="19" fillId="4" borderId="5" xfId="0" applyFont="1" applyFill="1" applyBorder="1" applyAlignment="1">
      <alignment horizontal="center"/>
    </xf>
    <xf numFmtId="0" fontId="2" fillId="7" borderId="0" xfId="0" applyFont="1" applyFill="1"/>
    <xf numFmtId="0" fontId="0" fillId="0" borderId="0" xfId="0" applyAlignment="1" applyProtection="1">
      <alignment horizontal="right"/>
      <protection locked="0"/>
    </xf>
    <xf numFmtId="0" fontId="0" fillId="0" borderId="2" xfId="0" applyBorder="1"/>
    <xf numFmtId="0" fontId="0" fillId="0" borderId="3" xfId="0" applyBorder="1" applyAlignment="1">
      <alignment wrapText="1"/>
    </xf>
    <xf numFmtId="49" fontId="0" fillId="0" borderId="0" xfId="0" applyNumberFormat="1" applyAlignment="1" applyProtection="1">
      <alignment horizontal="left"/>
      <protection locked="0"/>
    </xf>
    <xf numFmtId="0" fontId="1" fillId="0" borderId="0" xfId="0" applyFont="1" applyAlignment="1">
      <alignment horizontal="left"/>
    </xf>
    <xf numFmtId="166" fontId="1" fillId="0" borderId="0" xfId="0" applyNumberFormat="1" applyFont="1" applyAlignment="1" applyProtection="1">
      <alignment horizontal="left"/>
      <protection locked="0"/>
    </xf>
    <xf numFmtId="0" fontId="1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 wrapText="1"/>
    </xf>
    <xf numFmtId="0" fontId="3" fillId="2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22" fillId="0" borderId="4" xfId="0" applyFont="1" applyBorder="1" applyAlignment="1" applyProtection="1">
      <alignment horizontal="left" wrapText="1"/>
      <protection locked="0"/>
    </xf>
    <xf numFmtId="0" fontId="12" fillId="0" borderId="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21" fillId="0" borderId="0" xfId="0" applyFont="1" applyAlignment="1">
      <alignment horizontal="right" vertical="center" wrapText="1"/>
    </xf>
    <xf numFmtId="0" fontId="20" fillId="0" borderId="0" xfId="0" applyFont="1" applyAlignment="1">
      <alignment horizontal="right" vertical="center"/>
    </xf>
    <xf numFmtId="0" fontId="9" fillId="0" borderId="0" xfId="0" applyFont="1" applyAlignment="1" applyProtection="1">
      <alignment horizontal="center"/>
      <protection locked="0"/>
    </xf>
    <xf numFmtId="0" fontId="14" fillId="0" borderId="0" xfId="0" applyFont="1" applyAlignment="1">
      <alignment horizontal="center" wrapText="1"/>
    </xf>
  </cellXfs>
  <cellStyles count="1">
    <cellStyle name="Normal" xfId="0" builtinId="0"/>
  </cellStyles>
  <dxfs count="2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" formatCode="0"/>
    </dxf>
    <dxf>
      <numFmt numFmtId="167" formatCode="0.000"/>
    </dxf>
    <dxf>
      <numFmt numFmtId="167" formatCode="0.000"/>
    </dxf>
    <dxf>
      <numFmt numFmtId="167" formatCode="0.000"/>
    </dxf>
    <dxf>
      <numFmt numFmtId="1" formatCode="0"/>
    </dxf>
    <dxf>
      <numFmt numFmtId="166" formatCode="[$-1540A]dd\-mmm\-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fill>
        <patternFill patternType="solid">
          <fgColor indexed="64"/>
          <bgColor rgb="FF00B0F0"/>
        </patternFill>
      </fill>
    </dxf>
    <dxf>
      <font>
        <b/>
      </font>
      <fill>
        <patternFill patternType="solid">
          <fgColor indexed="64"/>
          <bgColor rgb="FF00B0F0"/>
        </patternFill>
      </fill>
    </dxf>
    <dxf>
      <font>
        <b/>
      </font>
      <fill>
        <patternFill patternType="solid">
          <fgColor rgb="FF000000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00B050"/>
        </patternFill>
      </fill>
    </dxf>
  </dxfs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0</xdr:rowOff>
    </xdr:from>
    <xdr:to>
      <xdr:col>3</xdr:col>
      <xdr:colOff>283035</xdr:colOff>
      <xdr:row>0</xdr:row>
      <xdr:rowOff>789457</xdr:rowOff>
    </xdr:to>
    <xdr:pic>
      <xdr:nvPicPr>
        <xdr:cNvPr id="3" name="Imagen 2" descr="pasted-image">
          <a:extLst>
            <a:ext uri="{FF2B5EF4-FFF2-40B4-BE49-F238E27FC236}">
              <a16:creationId xmlns:a16="http://schemas.microsoft.com/office/drawing/2014/main" id="{874E4E36-2B8C-4B21-8B4D-934C1EB82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0"/>
          <a:ext cx="1073610" cy="789457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3</xdr:col>
      <xdr:colOff>409575</xdr:colOff>
      <xdr:row>0</xdr:row>
      <xdr:rowOff>447675</xdr:rowOff>
    </xdr:from>
    <xdr:to>
      <xdr:col>11</xdr:col>
      <xdr:colOff>844550</xdr:colOff>
      <xdr:row>0</xdr:row>
      <xdr:rowOff>854075</xdr:rowOff>
    </xdr:to>
    <xdr:pic>
      <xdr:nvPicPr>
        <xdr:cNvPr id="6" name="Imagen 3" descr="pasted-image">
          <a:extLst>
            <a:ext uri="{FF2B5EF4-FFF2-40B4-BE49-F238E27FC236}">
              <a16:creationId xmlns:a16="http://schemas.microsoft.com/office/drawing/2014/main" id="{1F440CDD-7B00-4E4F-AE39-23412D93F728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57325" y="447675"/>
          <a:ext cx="5159375" cy="406400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16</xdr:col>
      <xdr:colOff>257175</xdr:colOff>
      <xdr:row>1</xdr:row>
      <xdr:rowOff>0</xdr:rowOff>
    </xdr:from>
    <xdr:to>
      <xdr:col>17</xdr:col>
      <xdr:colOff>76055</xdr:colOff>
      <xdr:row>4</xdr:row>
      <xdr:rowOff>32533</xdr:rowOff>
    </xdr:to>
    <xdr:pic macro="[0]!CreaPDF">
      <xdr:nvPicPr>
        <xdr:cNvPr id="4" name="Picture 3">
          <a:extLst>
            <a:ext uri="{FF2B5EF4-FFF2-40B4-BE49-F238E27FC236}">
              <a16:creationId xmlns:a16="http://schemas.microsoft.com/office/drawing/2014/main" id="{37F39C55-A5A3-4337-BD2D-07D805CE9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5850" y="962025"/>
          <a:ext cx="476105" cy="61269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  <xdr:twoCellAnchor editAs="oneCell">
    <xdr:from>
      <xdr:col>16</xdr:col>
      <xdr:colOff>247651</xdr:colOff>
      <xdr:row>0</xdr:row>
      <xdr:rowOff>104775</xdr:rowOff>
    </xdr:from>
    <xdr:to>
      <xdr:col>17</xdr:col>
      <xdr:colOff>64308</xdr:colOff>
      <xdr:row>0</xdr:row>
      <xdr:rowOff>647700</xdr:rowOff>
    </xdr:to>
    <xdr:pic macro="[0]!GuardarComo">
      <xdr:nvPicPr>
        <xdr:cNvPr id="2" name="Picture 1">
          <a:extLst>
            <a:ext uri="{FF2B5EF4-FFF2-40B4-BE49-F238E27FC236}">
              <a16:creationId xmlns:a16="http://schemas.microsoft.com/office/drawing/2014/main" id="{9371077C-9F57-4B73-AC39-1A2E3DDD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96326" y="104775"/>
          <a:ext cx="473882" cy="54292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 fPrintsWithSheet="0"/>
  </xdr:twoCellAnchor>
  <xdr:twoCellAnchor editAs="oneCell">
    <xdr:from>
      <xdr:col>11</xdr:col>
      <xdr:colOff>796637</xdr:colOff>
      <xdr:row>41</xdr:row>
      <xdr:rowOff>62346</xdr:rowOff>
    </xdr:from>
    <xdr:to>
      <xdr:col>12</xdr:col>
      <xdr:colOff>13856</xdr:colOff>
      <xdr:row>41</xdr:row>
      <xdr:rowOff>301337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4BC8A27-AF17-463F-8189-AA09E1F3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5492" y="8264237"/>
          <a:ext cx="200891" cy="2389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57150</xdr:colOff>
      <xdr:row>43</xdr:row>
      <xdr:rowOff>0</xdr:rowOff>
    </xdr:from>
    <xdr:ext cx="1073610" cy="789457"/>
    <xdr:pic>
      <xdr:nvPicPr>
        <xdr:cNvPr id="11" name="Imagen 2" descr="pasted-image">
          <a:extLst>
            <a:ext uri="{FF2B5EF4-FFF2-40B4-BE49-F238E27FC236}">
              <a16:creationId xmlns:a16="http://schemas.microsoft.com/office/drawing/2014/main" id="{D86F6022-244E-4760-A8D1-1FD70E5A4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0"/>
          <a:ext cx="1073610" cy="789457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oneCellAnchor>
  <xdr:oneCellAnchor>
    <xdr:from>
      <xdr:col>3</xdr:col>
      <xdr:colOff>409575</xdr:colOff>
      <xdr:row>43</xdr:row>
      <xdr:rowOff>447675</xdr:rowOff>
    </xdr:from>
    <xdr:ext cx="5159375" cy="406400"/>
    <xdr:pic>
      <xdr:nvPicPr>
        <xdr:cNvPr id="12" name="Imagen 3" descr="pasted-image">
          <a:extLst>
            <a:ext uri="{FF2B5EF4-FFF2-40B4-BE49-F238E27FC236}">
              <a16:creationId xmlns:a16="http://schemas.microsoft.com/office/drawing/2014/main" id="{1DCAB1F8-F253-45B5-8703-C53A873342DD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57325" y="447675"/>
          <a:ext cx="5159375" cy="406400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oneCellAnchor>
  <xdr:oneCellAnchor>
    <xdr:from>
      <xdr:col>11</xdr:col>
      <xdr:colOff>884094</xdr:colOff>
      <xdr:row>84</xdr:row>
      <xdr:rowOff>178087</xdr:rowOff>
    </xdr:from>
    <xdr:ext cx="182706" cy="215038"/>
    <xdr:pic>
      <xdr:nvPicPr>
        <xdr:cNvPr id="13" name="Picture 12">
          <a:extLst>
            <a:ext uri="{FF2B5EF4-FFF2-40B4-BE49-F238E27FC236}">
              <a16:creationId xmlns:a16="http://schemas.microsoft.com/office/drawing/2014/main" id="{BAEB7214-8949-4E61-A26D-AF280A1D6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2949" y="16775832"/>
          <a:ext cx="182706" cy="2150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32040</xdr:colOff>
      <xdr:row>128</xdr:row>
      <xdr:rowOff>152402</xdr:rowOff>
    </xdr:from>
    <xdr:ext cx="210415" cy="247650"/>
    <xdr:pic>
      <xdr:nvPicPr>
        <xdr:cNvPr id="5" name="Picture 4">
          <a:extLst>
            <a:ext uri="{FF2B5EF4-FFF2-40B4-BE49-F238E27FC236}">
              <a16:creationId xmlns:a16="http://schemas.microsoft.com/office/drawing/2014/main" id="{D2C68251-C637-4957-855F-51968BCA7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4567" y="16625457"/>
          <a:ext cx="21041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57150</xdr:colOff>
      <xdr:row>87</xdr:row>
      <xdr:rowOff>0</xdr:rowOff>
    </xdr:from>
    <xdr:ext cx="1073610" cy="789457"/>
    <xdr:pic>
      <xdr:nvPicPr>
        <xdr:cNvPr id="8" name="Imagen 2" descr="pasted-image">
          <a:extLst>
            <a:ext uri="{FF2B5EF4-FFF2-40B4-BE49-F238E27FC236}">
              <a16:creationId xmlns:a16="http://schemas.microsoft.com/office/drawing/2014/main" id="{36917F16-1B79-485D-9584-6A39684D4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64968" y="8686800"/>
          <a:ext cx="1073610" cy="789457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oneCellAnchor>
  <xdr:oneCellAnchor>
    <xdr:from>
      <xdr:col>3</xdr:col>
      <xdr:colOff>409575</xdr:colOff>
      <xdr:row>87</xdr:row>
      <xdr:rowOff>447675</xdr:rowOff>
    </xdr:from>
    <xdr:ext cx="5159375" cy="406400"/>
    <xdr:pic>
      <xdr:nvPicPr>
        <xdr:cNvPr id="9" name="Imagen 3" descr="pasted-image">
          <a:extLst>
            <a:ext uri="{FF2B5EF4-FFF2-40B4-BE49-F238E27FC236}">
              <a16:creationId xmlns:a16="http://schemas.microsoft.com/office/drawing/2014/main" id="{EEB0C1F7-35CF-4B15-8766-D60E94D3BA35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55593" y="9134475"/>
          <a:ext cx="5159375" cy="406400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8</xdr:row>
      <xdr:rowOff>476250</xdr:rowOff>
    </xdr:from>
    <xdr:to>
      <xdr:col>6</xdr:col>
      <xdr:colOff>70555</xdr:colOff>
      <xdr:row>8</xdr:row>
      <xdr:rowOff>1238250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FB74A6-E44D-4F22-BD96-379EBB086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3625" y="2000250"/>
          <a:ext cx="832555" cy="76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D8EC25-F051-41B6-89B6-D0E742C1374C}" name="Table22" displayName="Table22" ref="A6:E21" totalsRowCount="1">
  <autoFilter ref="A6:E20" xr:uid="{E4D8EC25-F051-41B6-89B6-D0E742C1374C}"/>
  <tableColumns count="5">
    <tableColumn id="1" xr3:uid="{EC0784AC-B0A0-4F46-9F7B-8A3A40A26A73}" name="Sistema Mecanico"/>
    <tableColumn id="2" xr3:uid="{E78F5AA4-001C-4FCA-8CBF-9D756E4301E8}" name="Cantidad"/>
    <tableColumn id="3" xr3:uid="{2217C89F-0EE7-4F6F-8290-1F6C12A9DCBB}" name="Precio Unitario" totalsRowLabel="Total" totalsRowDxfId="26"/>
    <tableColumn id="4" xr3:uid="{72D829C8-FBDF-43C8-9222-4576B3CB7717}" name="Total" totalsRowFunction="custom" dataDxfId="25" totalsRowDxfId="24">
      <calculatedColumnFormula>Table22[[#This Row],[Cantidad]]*Table22[[#This Row],[Precio Unitario]]</calculatedColumnFormula>
      <totalsRowFormula>SUM(D7:D20)</totalsRowFormula>
    </tableColumn>
    <tableColumn id="5" xr3:uid="{9051B58D-CC36-4A9D-BE75-AF8874A24096}" name="Column1" dataDxfId="23">
      <calculatedColumnFormula>LEFT(Table22[[#This Row],[Sistema Mecanico]],13)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B2379D-B3DA-4ACC-9ED3-7449399521E6}" name="Table37" displayName="Table37" ref="A25:D34" totalsRowCount="1">
  <autoFilter ref="A25:D33" xr:uid="{97B2379D-B3DA-4ACC-9ED3-7449399521E6}"/>
  <tableColumns count="4">
    <tableColumn id="1" xr3:uid="{23C386DC-A2B2-49C8-AA36-8F528CADD9E5}" name="Sistema Neumatico"/>
    <tableColumn id="2" xr3:uid="{BA47B4EB-9EC2-4CB5-A948-3567BECC58D8}" name="Cantidad"/>
    <tableColumn id="3" xr3:uid="{D7F8A18B-4F2B-43BA-9E03-6D9F5CD077CE}" name="Precio Unitario" totalsRowLabel="Total" totalsRowDxfId="22"/>
    <tableColumn id="4" xr3:uid="{B14830E4-F2F4-4CCC-AAC3-2CD6C6CA46BB}" name="Total" totalsRowFunction="sum" dataDxfId="21" totalsRowDxfId="20">
      <calculatedColumnFormula>Table37[[#This Row],[Cantidad]]*Table37[[#This Row],[Precio Unitario]]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17C18A-CBB4-4A6C-8C52-352B5A0394FE}" name="Table410" displayName="Table410" ref="A38:D45" totalsRowShown="0">
  <autoFilter ref="A38:D45" xr:uid="{3A17C18A-CBB4-4A6C-8C52-352B5A0394FE}"/>
  <tableColumns count="4">
    <tableColumn id="1" xr3:uid="{AC65AD67-E71F-475C-907C-01390B75D61B}" name="Mesa, estación"/>
    <tableColumn id="2" xr3:uid="{1E19BEEE-0495-4B61-8DD8-C442FBDDC135}" name="Cantidad"/>
    <tableColumn id="3" xr3:uid="{FCD050AC-9DDF-48D2-8F9C-107DABC8DDD8}" name="Precio Unitario"/>
    <tableColumn id="4" xr3:uid="{C7A7F49A-EA35-40AB-8475-05E226FEBF39}" name="Total" dataDxfId="19">
      <calculatedColumnFormula>Table410[[#This Row],[Cantidad]]*Table410[[#This Row],[Precio Unitario]]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2ECD84-8872-43DB-9A21-601411ABBFED}" name="Table511" displayName="Table511" ref="A52:D59" totalsRowCount="1">
  <autoFilter ref="A52:D58" xr:uid="{D82ECD84-8872-43DB-9A21-601411ABBFED}"/>
  <tableColumns count="4">
    <tableColumn id="1" xr3:uid="{9E3B1E46-EFCF-4CC0-ADCD-5F83F4A6075F}" name="Mano de Obra"/>
    <tableColumn id="2" xr3:uid="{8DE5C1D5-5E9A-4689-BD83-A72912D2F544}" name="Qty Hrs"/>
    <tableColumn id="3" xr3:uid="{D2316097-E7AE-45AE-8CA9-30CFE2A28F25}" name="Costo Hr"/>
    <tableColumn id="4" xr3:uid="{C0F3D926-E57E-431D-838B-9BFD56CFA0E8}" name="Total" dataDxfId="18">
      <calculatedColumnFormula>Table511[[#This Row],[Costo Hr]]*Table511[[#This Row],[Qty Hrs]]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5A878E-3BC9-44B1-A692-D20613B2F121}" name="Table712" displayName="Table712" ref="C75:D79" totalsRowShown="0" totalsRowDxfId="17">
  <autoFilter ref="C75:D79" xr:uid="{675A878E-3BC9-44B1-A692-D20613B2F121}"/>
  <tableColumns count="2">
    <tableColumn id="1" xr3:uid="{B7724DF7-B842-4877-A0A0-8F2833002691}" name="Total Costos" totalsRowDxfId="16"/>
    <tableColumn id="2" xr3:uid="{20A03CA0-CE72-4811-85C9-9A37E465D0A0}" name="Costo" totalsRowDxfId="15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71DCC4C-1D93-4EEA-A8CF-17CE73CB60F3}" name="Table813" displayName="Table813" ref="C81:D84" totalsRowShown="0">
  <autoFilter ref="C81:D84" xr:uid="{E71DCC4C-1D93-4EEA-A8CF-17CE73CB60F3}"/>
  <tableColumns count="2">
    <tableColumn id="1" xr3:uid="{63640A4B-9436-44E5-A02A-EA0B2A58BBA5}" name="Total"/>
    <tableColumn id="2" xr3:uid="{9D6A518A-9280-45C8-B6CE-F46154307FE0}" name="Costo"/>
  </tableColumns>
  <tableStyleInfo name="TableStyleMedium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86B347-C214-4325-9DFA-1C002009947C}" name="Table7" displayName="Table7" ref="A6:U18" totalsRowShown="0" headerRowDxfId="14">
  <autoFilter ref="A6:U18" xr:uid="{6886B347-C214-4325-9DFA-1C002009947C}"/>
  <tableColumns count="21">
    <tableColumn id="1" xr3:uid="{DA5CE312-80B7-4305-B766-B989A7976582}" name="Cot" dataDxfId="13"/>
    <tableColumn id="2" xr3:uid="{AF65D602-C192-4F89-8EEE-778B8D776261}" name="Name"/>
    <tableColumn id="3" xr3:uid="{1D7E15CD-709E-441E-A432-3791A4A81BE9}" name="No Parte." dataDxfId="12"/>
    <tableColumn id="4" xr3:uid="{0D4C8E6B-0F4D-4693-8C00-BAE16DF59864}" name="Cantidad" dataDxfId="11"/>
    <tableColumn id="5" xr3:uid="{41B09DC5-32F1-48C9-9DBE-69BF82D2D909}" name="Material"/>
    <tableColumn id="6" xr3:uid="{3472A8E4-D268-4EB9-A610-B9D00564C31B}" name="Dimensiones Material" dataDxfId="10"/>
    <tableColumn id="7" xr3:uid="{736A17E7-8D71-4EAE-A015-C8F079DB5F89}" name="Column1" dataDxfId="9"/>
    <tableColumn id="8" xr3:uid="{1A6ED2FC-5ACC-4F8B-9AF7-487D409D7117}" name="Column2" dataDxfId="8"/>
    <tableColumn id="9" xr3:uid="{F16AD539-06AB-4FAA-85D6-C24624EA7138}" name="Costo Material" dataDxfId="7"/>
    <tableColumn id="10" xr3:uid="{EC67B4E3-9D89-4D6E-A491-A057ECF82BFE}" name="Programación" dataDxfId="6"/>
    <tableColumn id="11" xr3:uid="{024D87EA-167E-42B1-AA4C-2C334F499959}" name="CNC" dataDxfId="5"/>
    <tableColumn id="12" xr3:uid="{C0C12875-814A-4CE4-94B9-42F7E1DA72A9}" name="Convencional" dataDxfId="4"/>
    <tableColumn id="13" xr3:uid="{7D4F76EB-52D3-4A2A-95A1-9C5FB77E9226}" name="EDM" dataDxfId="3"/>
    <tableColumn id="14" xr3:uid="{CCB4FBA8-5EBB-4582-A9AA-1B10D3133529}" name="Tratamiento" dataDxfId="2"/>
    <tableColumn id="15" xr3:uid="{A348F65E-2827-4CF4-BA35-3B08CAA72AC3}" name="Total sin 30%">
      <calculatedColumnFormula>I7+(J7*J$2)+(K7*J$2)+(L7*J$1)+(M7*J$2)+N7</calculatedColumnFormula>
    </tableColumn>
    <tableColumn id="20" xr3:uid="{AD3C1B90-BC1C-4B16-9E53-7BA24B0F9241}" name="Column5"/>
    <tableColumn id="16" xr3:uid="{1461D171-6175-4708-8893-B57A11AFF865}" name="P. Unit (30%)" dataDxfId="1">
      <calculatedColumnFormula>O7*1.3</calculatedColumnFormula>
    </tableColumn>
    <tableColumn id="21" xr3:uid="{719E7ECE-3BA1-4B28-9A76-0DFD220A78E2}" name="Total" dataDxfId="0">
      <calculatedColumnFormula>Table7[[#This Row],[P. Unit (30%)]]*D7</calculatedColumnFormula>
    </tableColumn>
    <tableColumn id="17" xr3:uid="{7075DB73-6EEC-4787-A3F4-115DB23263AA}" name="-"/>
    <tableColumn id="18" xr3:uid="{CF134626-BCF3-4CC3-824D-0129B106000D}" name="Moneda nacional">
      <calculatedColumnFormula>Q7*O$2</calculatedColumnFormula>
    </tableColumn>
    <tableColumn id="19" xr3:uid="{0C13F333-B2EE-4F33-AE4E-EDA43DBF0417}" name="Column4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30"/>
  <sheetViews>
    <sheetView tabSelected="1" view="pageLayout" zoomScale="110" zoomScaleNormal="100" zoomScalePageLayoutView="110" workbookViewId="0">
      <selection activeCell="H107" sqref="H107"/>
    </sheetView>
  </sheetViews>
  <sheetFormatPr defaultColWidth="9.109375" defaultRowHeight="14.4" x14ac:dyDescent="0.3"/>
  <cols>
    <col min="1" max="1" width="2.88671875" customWidth="1"/>
    <col min="2" max="2" width="6.109375" customWidth="1"/>
    <col min="3" max="3" width="5.6640625" customWidth="1"/>
    <col min="4" max="4" width="6.5546875" customWidth="1"/>
    <col min="5" max="5" width="10.33203125" customWidth="1"/>
    <col min="6" max="6" width="10.6640625" customWidth="1"/>
    <col min="7" max="7" width="9.6640625" customWidth="1"/>
    <col min="8" max="8" width="6.5546875" customWidth="1"/>
    <col min="9" max="9" width="5.33203125" customWidth="1"/>
    <col min="10" max="10" width="12.5546875" customWidth="1"/>
    <col min="11" max="11" width="4.33203125" customWidth="1"/>
    <col min="12" max="12" width="13.88671875" customWidth="1"/>
    <col min="13" max="13" width="5.109375" customWidth="1"/>
    <col min="14" max="14" width="0" hidden="1" customWidth="1"/>
  </cols>
  <sheetData>
    <row r="1" spans="1:18" ht="69" customHeight="1" x14ac:dyDescent="0.3">
      <c r="A1" s="64"/>
      <c r="B1" s="64"/>
      <c r="C1" s="64"/>
      <c r="D1" s="64"/>
      <c r="E1" s="64"/>
      <c r="F1" s="64"/>
      <c r="G1" s="64"/>
      <c r="H1" s="64"/>
      <c r="I1" s="64"/>
      <c r="J1" s="1"/>
    </row>
    <row r="2" spans="1:18" ht="15" customHeight="1" x14ac:dyDescent="0.3">
      <c r="B2" s="66" t="s">
        <v>139</v>
      </c>
      <c r="C2" s="66"/>
      <c r="D2" s="66"/>
      <c r="E2" s="66"/>
      <c r="G2" s="3" t="s">
        <v>3</v>
      </c>
      <c r="H2" s="65"/>
      <c r="I2" s="65"/>
      <c r="J2" s="65"/>
      <c r="K2" s="65"/>
      <c r="L2" s="65"/>
      <c r="M2" s="65"/>
      <c r="R2" s="12"/>
    </row>
    <row r="3" spans="1:18" x14ac:dyDescent="0.3">
      <c r="B3" s="66"/>
      <c r="C3" s="66"/>
      <c r="D3" s="66"/>
      <c r="E3" s="66"/>
      <c r="H3" s="65"/>
      <c r="I3" s="65"/>
      <c r="J3" s="65"/>
      <c r="K3" s="65"/>
      <c r="L3" s="65"/>
      <c r="M3" s="65"/>
    </row>
    <row r="4" spans="1:18" ht="15.75" customHeight="1" x14ac:dyDescent="0.3">
      <c r="B4" s="66"/>
      <c r="C4" s="66"/>
      <c r="D4" s="66"/>
      <c r="E4" s="66"/>
      <c r="G4" s="3" t="s">
        <v>4</v>
      </c>
      <c r="H4" s="65"/>
      <c r="I4" s="65"/>
      <c r="J4" s="65"/>
      <c r="K4" s="65"/>
      <c r="L4" s="65"/>
      <c r="M4" s="65"/>
    </row>
    <row r="5" spans="1:18" ht="15" customHeight="1" x14ac:dyDescent="0.3">
      <c r="H5" s="65"/>
      <c r="I5" s="65"/>
      <c r="J5" s="65"/>
      <c r="K5" s="65"/>
      <c r="L5" s="65"/>
      <c r="M5" s="65"/>
    </row>
    <row r="6" spans="1:18" ht="15.6" x14ac:dyDescent="0.3">
      <c r="B6" s="3" t="s">
        <v>0</v>
      </c>
      <c r="C6" s="61"/>
      <c r="D6" s="61"/>
      <c r="E6" s="22"/>
      <c r="G6" s="3" t="s">
        <v>2</v>
      </c>
      <c r="H6" s="69"/>
      <c r="I6" s="69"/>
      <c r="J6" s="70"/>
      <c r="K6" s="70"/>
    </row>
    <row r="7" spans="1:18" ht="15.6" customHeight="1" x14ac:dyDescent="0.3">
      <c r="B7" s="62" t="s">
        <v>138</v>
      </c>
      <c r="C7" s="62"/>
      <c r="D7" s="63"/>
      <c r="E7" s="63"/>
      <c r="G7" s="60" t="s">
        <v>1</v>
      </c>
      <c r="H7" s="60"/>
      <c r="I7" s="59"/>
      <c r="J7" s="59"/>
      <c r="K7" s="59"/>
      <c r="L7" s="59"/>
      <c r="M7" s="59"/>
      <c r="N7" s="59"/>
    </row>
    <row r="8" spans="1:18" ht="10.199999999999999" customHeight="1" x14ac:dyDescent="0.3"/>
    <row r="9" spans="1:18" ht="13.5" customHeight="1" x14ac:dyDescent="0.3">
      <c r="B9" s="71" t="s">
        <v>84</v>
      </c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</row>
    <row r="10" spans="1:18" ht="15.6" x14ac:dyDescent="0.3">
      <c r="B10" s="67" t="s">
        <v>85</v>
      </c>
      <c r="C10" s="67"/>
      <c r="D10" s="67"/>
      <c r="E10" s="67"/>
      <c r="F10" s="67"/>
      <c r="G10" s="67"/>
      <c r="H10" s="67" t="s">
        <v>7</v>
      </c>
      <c r="I10" s="67"/>
      <c r="J10" s="67" t="s">
        <v>6</v>
      </c>
      <c r="K10" s="67"/>
      <c r="L10" s="67" t="s">
        <v>5</v>
      </c>
      <c r="M10" s="67"/>
    </row>
    <row r="11" spans="1:18" ht="15" customHeight="1" x14ac:dyDescent="0.3">
      <c r="C11" s="19"/>
      <c r="D11" s="19"/>
      <c r="E11" s="19"/>
      <c r="F11" s="19"/>
      <c r="G11" s="58"/>
      <c r="H11" s="57"/>
      <c r="I11" s="14"/>
      <c r="J11" s="15"/>
      <c r="K11" s="16"/>
      <c r="L11" s="11" t="str">
        <f>IF(H11="","",(J11*H11))</f>
        <v/>
      </c>
      <c r="M11" t="str">
        <f>IF(K11="","",K11)</f>
        <v/>
      </c>
    </row>
    <row r="12" spans="1:18" x14ac:dyDescent="0.3">
      <c r="C12" s="23"/>
      <c r="D12" s="23"/>
      <c r="E12" s="23"/>
      <c r="F12" s="23"/>
      <c r="G12" s="23"/>
      <c r="H12" s="57"/>
      <c r="I12" s="14"/>
      <c r="J12" s="15"/>
      <c r="K12" s="16"/>
      <c r="L12" s="11" t="str">
        <f t="shared" ref="L12:L41" si="0">IF(H12="","",(J12*H12))</f>
        <v/>
      </c>
      <c r="M12" t="str">
        <f t="shared" ref="M12:M41" si="1">IF(K12="","",K12)</f>
        <v/>
      </c>
    </row>
    <row r="13" spans="1:18" ht="15" customHeight="1" x14ac:dyDescent="0.3">
      <c r="C13" s="23"/>
      <c r="D13" s="23"/>
      <c r="E13" s="23"/>
      <c r="F13" s="23"/>
      <c r="G13" s="23"/>
      <c r="H13" s="57"/>
      <c r="I13" s="14"/>
      <c r="J13" s="15"/>
      <c r="K13" s="16"/>
      <c r="L13" s="11" t="str">
        <f t="shared" si="0"/>
        <v/>
      </c>
      <c r="M13" t="str">
        <f t="shared" si="1"/>
        <v/>
      </c>
    </row>
    <row r="14" spans="1:18" x14ac:dyDescent="0.3">
      <c r="C14" s="23"/>
      <c r="D14" s="23"/>
      <c r="E14" s="23"/>
      <c r="F14" s="23"/>
      <c r="G14" s="23"/>
      <c r="H14" s="57"/>
      <c r="I14" s="14"/>
      <c r="J14" s="15"/>
      <c r="K14" s="16"/>
      <c r="L14" s="11" t="str">
        <f t="shared" si="0"/>
        <v/>
      </c>
      <c r="M14" t="str">
        <f t="shared" si="1"/>
        <v/>
      </c>
    </row>
    <row r="15" spans="1:18" x14ac:dyDescent="0.3">
      <c r="C15" s="23"/>
      <c r="D15" s="23"/>
      <c r="E15" s="23"/>
      <c r="F15" s="23"/>
      <c r="G15" s="23"/>
      <c r="H15" s="57"/>
      <c r="I15" s="14"/>
      <c r="J15" s="15"/>
      <c r="K15" s="16"/>
      <c r="L15" s="11" t="str">
        <f t="shared" si="0"/>
        <v/>
      </c>
      <c r="M15" t="str">
        <f t="shared" si="1"/>
        <v/>
      </c>
    </row>
    <row r="16" spans="1:18" ht="15" customHeight="1" x14ac:dyDescent="0.3">
      <c r="C16" s="23"/>
      <c r="D16" s="23"/>
      <c r="E16" s="23"/>
      <c r="F16" s="23"/>
      <c r="G16" s="23"/>
      <c r="H16" s="57"/>
      <c r="I16" s="14"/>
      <c r="J16" s="15"/>
      <c r="K16" s="16"/>
      <c r="L16" s="11" t="str">
        <f t="shared" si="0"/>
        <v/>
      </c>
      <c r="M16" t="str">
        <f t="shared" si="1"/>
        <v/>
      </c>
    </row>
    <row r="17" spans="3:13" x14ac:dyDescent="0.3">
      <c r="C17" s="23"/>
      <c r="D17" s="23"/>
      <c r="E17" s="23"/>
      <c r="F17" s="23"/>
      <c r="G17" s="23"/>
      <c r="H17" s="57"/>
      <c r="I17" s="14"/>
      <c r="J17" s="15"/>
      <c r="K17" s="16"/>
      <c r="L17" s="11" t="str">
        <f t="shared" si="0"/>
        <v/>
      </c>
      <c r="M17" t="str">
        <f t="shared" si="1"/>
        <v/>
      </c>
    </row>
    <row r="18" spans="3:13" x14ac:dyDescent="0.3">
      <c r="C18" s="23"/>
      <c r="D18" s="23"/>
      <c r="E18" s="23"/>
      <c r="F18" s="23"/>
      <c r="G18" s="23"/>
      <c r="H18" s="57"/>
      <c r="I18" s="14"/>
      <c r="J18" s="15"/>
      <c r="K18" s="16"/>
      <c r="L18" s="11" t="str">
        <f t="shared" si="0"/>
        <v/>
      </c>
      <c r="M18" t="str">
        <f t="shared" si="1"/>
        <v/>
      </c>
    </row>
    <row r="19" spans="3:13" x14ac:dyDescent="0.3">
      <c r="C19" s="23"/>
      <c r="D19" s="23"/>
      <c r="E19" s="23"/>
      <c r="F19" s="23"/>
      <c r="G19" s="23"/>
      <c r="H19" s="57"/>
      <c r="I19" s="14"/>
      <c r="J19" s="15"/>
      <c r="K19" s="16"/>
      <c r="L19" s="11" t="str">
        <f t="shared" si="0"/>
        <v/>
      </c>
      <c r="M19" t="str">
        <f t="shared" si="1"/>
        <v/>
      </c>
    </row>
    <row r="20" spans="3:13" x14ac:dyDescent="0.3">
      <c r="C20" s="23"/>
      <c r="D20" s="23"/>
      <c r="E20" s="23"/>
      <c r="F20" s="23"/>
      <c r="G20" s="23"/>
      <c r="H20" s="57"/>
      <c r="I20" s="14"/>
      <c r="J20" s="15"/>
      <c r="K20" s="16"/>
      <c r="L20" s="11" t="str">
        <f t="shared" si="0"/>
        <v/>
      </c>
      <c r="M20" t="str">
        <f t="shared" si="1"/>
        <v/>
      </c>
    </row>
    <row r="21" spans="3:13" x14ac:dyDescent="0.3">
      <c r="C21" s="23"/>
      <c r="D21" s="23"/>
      <c r="E21" s="23"/>
      <c r="F21" s="23"/>
      <c r="G21" s="23"/>
      <c r="H21" s="57"/>
      <c r="I21" s="14"/>
      <c r="J21" s="15"/>
      <c r="K21" s="16"/>
      <c r="L21" s="11" t="str">
        <f t="shared" si="0"/>
        <v/>
      </c>
      <c r="M21" t="str">
        <f t="shared" si="1"/>
        <v/>
      </c>
    </row>
    <row r="22" spans="3:13" x14ac:dyDescent="0.3">
      <c r="C22" s="23"/>
      <c r="D22" s="23"/>
      <c r="E22" s="23"/>
      <c r="F22" s="23"/>
      <c r="G22" s="23"/>
      <c r="H22" s="57"/>
      <c r="I22" s="14"/>
      <c r="J22" s="15"/>
      <c r="K22" s="16"/>
      <c r="L22" s="11" t="str">
        <f t="shared" si="0"/>
        <v/>
      </c>
      <c r="M22" t="str">
        <f t="shared" si="1"/>
        <v/>
      </c>
    </row>
    <row r="23" spans="3:13" x14ac:dyDescent="0.3">
      <c r="C23" s="23"/>
      <c r="D23" s="23"/>
      <c r="E23" s="23"/>
      <c r="F23" s="23"/>
      <c r="G23" s="23"/>
      <c r="H23" s="57"/>
      <c r="I23" s="14"/>
      <c r="J23" s="15"/>
      <c r="K23" s="16"/>
      <c r="L23" s="11" t="str">
        <f t="shared" si="0"/>
        <v/>
      </c>
      <c r="M23" t="str">
        <f t="shared" si="1"/>
        <v/>
      </c>
    </row>
    <row r="24" spans="3:13" x14ac:dyDescent="0.3">
      <c r="C24" s="23"/>
      <c r="D24" s="23"/>
      <c r="E24" s="23"/>
      <c r="F24" s="23"/>
      <c r="G24" s="23"/>
      <c r="H24" s="57"/>
      <c r="I24" s="14"/>
      <c r="J24" s="15"/>
      <c r="K24" s="16"/>
      <c r="L24" s="11" t="str">
        <f t="shared" si="0"/>
        <v/>
      </c>
      <c r="M24" t="str">
        <f t="shared" si="1"/>
        <v/>
      </c>
    </row>
    <row r="25" spans="3:13" x14ac:dyDescent="0.3">
      <c r="C25" s="23"/>
      <c r="D25" s="23"/>
      <c r="E25" s="23"/>
      <c r="F25" s="23"/>
      <c r="G25" s="23"/>
      <c r="H25" s="57"/>
      <c r="I25" s="14"/>
      <c r="J25" s="15"/>
      <c r="K25" s="16"/>
      <c r="L25" s="11" t="str">
        <f t="shared" si="0"/>
        <v/>
      </c>
      <c r="M25" t="str">
        <f t="shared" si="1"/>
        <v/>
      </c>
    </row>
    <row r="26" spans="3:13" x14ac:dyDescent="0.3">
      <c r="C26" s="23"/>
      <c r="D26" s="23"/>
      <c r="E26" s="23"/>
      <c r="F26" s="23"/>
      <c r="G26" s="23"/>
      <c r="H26" s="57"/>
      <c r="I26" s="14"/>
      <c r="J26" s="15"/>
      <c r="K26" s="16"/>
      <c r="L26" s="11" t="str">
        <f t="shared" si="0"/>
        <v/>
      </c>
      <c r="M26" t="str">
        <f t="shared" si="1"/>
        <v/>
      </c>
    </row>
    <row r="27" spans="3:13" x14ac:dyDescent="0.3">
      <c r="C27" s="23"/>
      <c r="D27" s="23"/>
      <c r="E27" s="23"/>
      <c r="F27" s="23"/>
      <c r="G27" s="23"/>
      <c r="H27" s="57"/>
      <c r="I27" s="14"/>
      <c r="J27" s="15"/>
      <c r="K27" s="16"/>
      <c r="L27" s="11" t="str">
        <f t="shared" si="0"/>
        <v/>
      </c>
      <c r="M27" t="str">
        <f t="shared" si="1"/>
        <v/>
      </c>
    </row>
    <row r="28" spans="3:13" x14ac:dyDescent="0.3">
      <c r="C28" s="23"/>
      <c r="D28" s="23"/>
      <c r="E28" s="23"/>
      <c r="F28" s="23"/>
      <c r="G28" s="23"/>
      <c r="H28" s="57"/>
      <c r="I28" s="14"/>
      <c r="J28" s="15"/>
      <c r="K28" s="16"/>
      <c r="L28" s="11" t="str">
        <f t="shared" si="0"/>
        <v/>
      </c>
      <c r="M28" t="str">
        <f t="shared" si="1"/>
        <v/>
      </c>
    </row>
    <row r="29" spans="3:13" x14ac:dyDescent="0.3">
      <c r="C29" s="23"/>
      <c r="D29" s="23"/>
      <c r="E29" s="23"/>
      <c r="F29" s="23"/>
      <c r="G29" s="23"/>
      <c r="H29" s="57"/>
      <c r="I29" s="14"/>
      <c r="J29" s="15"/>
      <c r="K29" s="16"/>
      <c r="L29" s="11" t="str">
        <f t="shared" si="0"/>
        <v/>
      </c>
      <c r="M29" t="str">
        <f t="shared" si="1"/>
        <v/>
      </c>
    </row>
    <row r="30" spans="3:13" x14ac:dyDescent="0.3">
      <c r="C30" s="23"/>
      <c r="D30" s="23"/>
      <c r="E30" s="23"/>
      <c r="F30" s="23"/>
      <c r="G30" s="23"/>
      <c r="H30" s="57"/>
      <c r="I30" s="14"/>
      <c r="J30" s="15"/>
      <c r="K30" s="16"/>
      <c r="L30" s="11" t="str">
        <f t="shared" si="0"/>
        <v/>
      </c>
      <c r="M30" t="str">
        <f t="shared" si="1"/>
        <v/>
      </c>
    </row>
    <row r="31" spans="3:13" x14ac:dyDescent="0.3">
      <c r="C31" s="23"/>
      <c r="D31" s="23"/>
      <c r="E31" s="23"/>
      <c r="F31" s="23"/>
      <c r="G31" s="23"/>
      <c r="H31" s="57"/>
      <c r="I31" s="14"/>
      <c r="J31" s="15"/>
      <c r="K31" s="16"/>
      <c r="L31" s="11" t="str">
        <f t="shared" si="0"/>
        <v/>
      </c>
      <c r="M31" t="str">
        <f t="shared" si="1"/>
        <v/>
      </c>
    </row>
    <row r="32" spans="3:13" x14ac:dyDescent="0.3">
      <c r="C32" s="23"/>
      <c r="D32" s="23"/>
      <c r="E32" s="23"/>
      <c r="F32" s="23"/>
      <c r="G32" s="23"/>
      <c r="H32" s="57"/>
      <c r="I32" s="14"/>
      <c r="J32" s="15"/>
      <c r="K32" s="16"/>
      <c r="L32" s="11" t="str">
        <f t="shared" si="0"/>
        <v/>
      </c>
      <c r="M32" t="str">
        <f t="shared" si="1"/>
        <v/>
      </c>
    </row>
    <row r="33" spans="1:13" x14ac:dyDescent="0.3">
      <c r="C33" s="23"/>
      <c r="D33" s="23"/>
      <c r="E33" s="23"/>
      <c r="F33" s="23"/>
      <c r="G33" s="23"/>
      <c r="H33" s="57"/>
      <c r="I33" s="14"/>
      <c r="J33" s="15"/>
      <c r="K33" s="16"/>
      <c r="L33" s="11" t="str">
        <f t="shared" si="0"/>
        <v/>
      </c>
      <c r="M33" t="str">
        <f t="shared" si="1"/>
        <v/>
      </c>
    </row>
    <row r="34" spans="1:13" x14ac:dyDescent="0.3">
      <c r="C34" s="23"/>
      <c r="D34" s="23"/>
      <c r="E34" s="23"/>
      <c r="F34" s="23"/>
      <c r="G34" s="23"/>
      <c r="H34" s="57"/>
      <c r="I34" s="14"/>
      <c r="J34" s="15"/>
      <c r="K34" s="16"/>
      <c r="L34" s="11" t="str">
        <f t="shared" si="0"/>
        <v/>
      </c>
      <c r="M34" t="str">
        <f t="shared" si="1"/>
        <v/>
      </c>
    </row>
    <row r="35" spans="1:13" ht="14.25" customHeight="1" x14ac:dyDescent="0.3">
      <c r="C35" s="23"/>
      <c r="D35" s="23"/>
      <c r="E35" s="23"/>
      <c r="F35" s="23"/>
      <c r="G35" s="23"/>
      <c r="H35" s="57"/>
      <c r="I35" s="14"/>
      <c r="J35" s="15"/>
      <c r="K35" s="16"/>
      <c r="L35" s="11" t="str">
        <f t="shared" si="0"/>
        <v/>
      </c>
      <c r="M35" t="str">
        <f t="shared" si="1"/>
        <v/>
      </c>
    </row>
    <row r="36" spans="1:13" x14ac:dyDescent="0.3">
      <c r="C36" s="23"/>
      <c r="D36" s="23"/>
      <c r="E36" s="23"/>
      <c r="F36" s="23"/>
      <c r="G36" s="23"/>
      <c r="H36" s="57"/>
      <c r="I36" s="14"/>
      <c r="J36" s="15"/>
      <c r="K36" s="16"/>
      <c r="L36" s="11" t="str">
        <f t="shared" si="0"/>
        <v/>
      </c>
      <c r="M36" t="str">
        <f t="shared" si="1"/>
        <v/>
      </c>
    </row>
    <row r="37" spans="1:13" x14ac:dyDescent="0.3">
      <c r="C37" s="23"/>
      <c r="D37" s="23"/>
      <c r="E37" s="23"/>
      <c r="F37" s="23"/>
      <c r="G37" s="23"/>
      <c r="H37" s="57"/>
      <c r="I37" s="14"/>
      <c r="J37" s="15"/>
      <c r="K37" s="16"/>
      <c r="L37" s="11" t="str">
        <f t="shared" si="0"/>
        <v/>
      </c>
      <c r="M37" t="str">
        <f t="shared" si="1"/>
        <v/>
      </c>
    </row>
    <row r="38" spans="1:13" x14ac:dyDescent="0.3">
      <c r="C38" s="23"/>
      <c r="D38" s="23"/>
      <c r="E38" s="23"/>
      <c r="F38" s="23"/>
      <c r="G38" s="23"/>
      <c r="H38" s="57"/>
      <c r="I38" s="14"/>
      <c r="J38" s="15"/>
      <c r="K38" s="16"/>
      <c r="L38" s="11" t="str">
        <f t="shared" si="0"/>
        <v/>
      </c>
      <c r="M38" t="str">
        <f t="shared" si="1"/>
        <v/>
      </c>
    </row>
    <row r="39" spans="1:13" x14ac:dyDescent="0.3">
      <c r="C39" s="23"/>
      <c r="D39" s="23"/>
      <c r="E39" s="23"/>
      <c r="F39" s="23"/>
      <c r="G39" s="23"/>
      <c r="H39" s="57"/>
      <c r="I39" s="14"/>
      <c r="J39" s="15"/>
      <c r="K39" s="16"/>
      <c r="L39" s="11" t="str">
        <f t="shared" si="0"/>
        <v/>
      </c>
      <c r="M39" t="str">
        <f t="shared" si="1"/>
        <v/>
      </c>
    </row>
    <row r="40" spans="1:13" x14ac:dyDescent="0.3">
      <c r="C40" s="23"/>
      <c r="D40" s="23"/>
      <c r="E40" s="23"/>
      <c r="F40" s="23"/>
      <c r="G40" s="23"/>
      <c r="H40" s="57"/>
      <c r="I40" s="14"/>
      <c r="J40" s="15"/>
      <c r="K40" s="16"/>
      <c r="L40" s="11" t="str">
        <f t="shared" si="0"/>
        <v/>
      </c>
      <c r="M40" t="str">
        <f t="shared" si="1"/>
        <v/>
      </c>
    </row>
    <row r="41" spans="1:13" x14ac:dyDescent="0.3">
      <c r="C41" s="23"/>
      <c r="D41" s="23"/>
      <c r="E41" s="23"/>
      <c r="F41" s="23"/>
      <c r="G41" s="23"/>
      <c r="H41" s="57"/>
      <c r="I41" s="14"/>
      <c r="J41" s="15"/>
      <c r="K41" s="16"/>
      <c r="L41" s="11" t="str">
        <f t="shared" si="0"/>
        <v/>
      </c>
      <c r="M41" t="str">
        <f t="shared" si="1"/>
        <v/>
      </c>
    </row>
    <row r="42" spans="1:13" ht="25.95" customHeight="1" x14ac:dyDescent="0.3">
      <c r="B42" s="68" t="s">
        <v>88</v>
      </c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</row>
    <row r="43" spans="1:13" ht="14.25" customHeight="1" x14ac:dyDescent="0.3"/>
    <row r="44" spans="1:13" ht="69" customHeight="1" x14ac:dyDescent="0.3">
      <c r="A44" s="64"/>
      <c r="B44" s="64"/>
      <c r="C44" s="64"/>
      <c r="D44" s="64"/>
      <c r="E44" s="64"/>
      <c r="F44" s="64"/>
      <c r="G44" s="64"/>
      <c r="H44" s="64"/>
      <c r="I44" s="64"/>
      <c r="J44" s="1"/>
    </row>
    <row r="45" spans="1:13" ht="0.75" customHeight="1" x14ac:dyDescent="0.3"/>
    <row r="47" spans="1:13" ht="15.6" x14ac:dyDescent="0.3">
      <c r="B47" s="67" t="s">
        <v>85</v>
      </c>
      <c r="C47" s="67"/>
      <c r="D47" s="67"/>
      <c r="E47" s="67"/>
      <c r="F47" s="67"/>
      <c r="G47" s="67"/>
      <c r="H47" s="67" t="s">
        <v>7</v>
      </c>
      <c r="I47" s="67"/>
      <c r="J47" s="67" t="s">
        <v>6</v>
      </c>
      <c r="K47" s="67"/>
      <c r="L47" s="67" t="s">
        <v>5</v>
      </c>
      <c r="M47" s="67"/>
    </row>
    <row r="48" spans="1:13" x14ac:dyDescent="0.3">
      <c r="C48" s="23"/>
      <c r="D48" s="23"/>
      <c r="E48" s="23"/>
      <c r="F48" s="23"/>
      <c r="G48" s="24"/>
      <c r="I48" s="14"/>
      <c r="J48" s="15"/>
      <c r="K48" s="16"/>
      <c r="L48" s="11" t="str">
        <f>IF(H48="","",(J48*H48))</f>
        <v/>
      </c>
      <c r="M48" t="str">
        <f>IF(K48="","",K48)</f>
        <v/>
      </c>
    </row>
    <row r="49" spans="3:13" x14ac:dyDescent="0.3">
      <c r="C49" s="23"/>
      <c r="D49" s="23"/>
      <c r="E49" s="23"/>
      <c r="F49" s="23"/>
      <c r="G49" s="24"/>
      <c r="I49" s="14"/>
      <c r="J49" s="15"/>
      <c r="K49" s="16"/>
      <c r="L49" s="11" t="str">
        <f t="shared" ref="L49:L71" si="2">IF(H49="","",(J49*H49))</f>
        <v/>
      </c>
      <c r="M49" t="str">
        <f t="shared" ref="M49:M55" si="3">IF(K49="","",K49)</f>
        <v/>
      </c>
    </row>
    <row r="50" spans="3:13" x14ac:dyDescent="0.3">
      <c r="C50" s="23"/>
      <c r="D50" s="23"/>
      <c r="E50" s="23"/>
      <c r="F50" s="23"/>
      <c r="G50" s="24"/>
      <c r="I50" s="14"/>
      <c r="J50" s="15"/>
      <c r="K50" s="16"/>
      <c r="L50" s="11" t="str">
        <f t="shared" si="2"/>
        <v/>
      </c>
      <c r="M50" t="str">
        <f t="shared" si="3"/>
        <v/>
      </c>
    </row>
    <row r="51" spans="3:13" x14ac:dyDescent="0.3">
      <c r="C51" s="23"/>
      <c r="D51" s="23"/>
      <c r="E51" s="23"/>
      <c r="F51" s="23"/>
      <c r="G51" s="24"/>
      <c r="I51" s="14"/>
      <c r="J51" s="15"/>
      <c r="K51" s="16"/>
      <c r="L51" s="11" t="str">
        <f t="shared" si="2"/>
        <v/>
      </c>
      <c r="M51" t="str">
        <f t="shared" si="3"/>
        <v/>
      </c>
    </row>
    <row r="52" spans="3:13" x14ac:dyDescent="0.3">
      <c r="C52" s="23"/>
      <c r="D52" s="23"/>
      <c r="E52" s="23"/>
      <c r="F52" s="23"/>
      <c r="G52" s="24"/>
      <c r="I52" s="14"/>
      <c r="J52" s="15"/>
      <c r="K52" s="16"/>
      <c r="L52" s="11" t="str">
        <f t="shared" si="2"/>
        <v/>
      </c>
      <c r="M52" t="str">
        <f t="shared" si="3"/>
        <v/>
      </c>
    </row>
    <row r="53" spans="3:13" x14ac:dyDescent="0.3">
      <c r="C53" s="23"/>
      <c r="D53" s="23"/>
      <c r="E53" s="23"/>
      <c r="F53" s="23"/>
      <c r="G53" s="24"/>
      <c r="I53" s="14"/>
      <c r="J53" s="15"/>
      <c r="K53" s="16"/>
      <c r="L53" s="11" t="str">
        <f t="shared" si="2"/>
        <v/>
      </c>
      <c r="M53" t="str">
        <f t="shared" si="3"/>
        <v/>
      </c>
    </row>
    <row r="54" spans="3:13" x14ac:dyDescent="0.3">
      <c r="C54" s="23"/>
      <c r="D54" s="23"/>
      <c r="E54" s="23"/>
      <c r="F54" s="23"/>
      <c r="G54" s="24"/>
      <c r="I54" s="14"/>
      <c r="J54" s="15"/>
      <c r="K54" s="16"/>
      <c r="L54" s="11" t="str">
        <f t="shared" si="2"/>
        <v/>
      </c>
      <c r="M54" t="str">
        <f t="shared" si="3"/>
        <v/>
      </c>
    </row>
    <row r="55" spans="3:13" x14ac:dyDescent="0.3">
      <c r="C55" s="23"/>
      <c r="D55" s="23"/>
      <c r="E55" s="23"/>
      <c r="F55" s="23"/>
      <c r="G55" s="24"/>
      <c r="I55" s="14"/>
      <c r="J55" s="15"/>
      <c r="K55" s="16"/>
      <c r="L55" s="11"/>
      <c r="M55" t="str">
        <f t="shared" si="3"/>
        <v/>
      </c>
    </row>
    <row r="56" spans="3:13" x14ac:dyDescent="0.3">
      <c r="C56" s="23"/>
      <c r="D56" s="23"/>
      <c r="E56" s="23"/>
      <c r="F56" s="23"/>
      <c r="G56" s="23"/>
      <c r="H56" s="56"/>
      <c r="I56" s="14"/>
      <c r="J56" s="15"/>
      <c r="K56" s="16"/>
      <c r="L56" s="11" t="str">
        <f t="shared" si="2"/>
        <v/>
      </c>
    </row>
    <row r="57" spans="3:13" x14ac:dyDescent="0.3">
      <c r="C57" s="23"/>
      <c r="D57" s="23"/>
      <c r="E57" s="23"/>
      <c r="F57" s="23"/>
      <c r="G57" s="24"/>
      <c r="H57" s="13"/>
      <c r="I57" s="14"/>
      <c r="J57" s="15"/>
      <c r="K57" s="16"/>
      <c r="L57" s="11" t="str">
        <f t="shared" si="2"/>
        <v/>
      </c>
      <c r="M57" t="str">
        <f t="shared" ref="M57:M71" si="4">IF(K57="","",K57)</f>
        <v/>
      </c>
    </row>
    <row r="58" spans="3:13" x14ac:dyDescent="0.3">
      <c r="C58" s="23"/>
      <c r="D58" s="23"/>
      <c r="E58" s="23"/>
      <c r="F58" s="23"/>
      <c r="G58" s="24"/>
      <c r="H58" s="13"/>
      <c r="I58" s="14"/>
      <c r="J58" s="15"/>
      <c r="K58" s="16"/>
      <c r="L58" s="11" t="str">
        <f t="shared" si="2"/>
        <v/>
      </c>
      <c r="M58" t="str">
        <f t="shared" si="4"/>
        <v/>
      </c>
    </row>
    <row r="59" spans="3:13" x14ac:dyDescent="0.3">
      <c r="C59" s="23"/>
      <c r="D59" s="23"/>
      <c r="E59" s="23"/>
      <c r="F59" s="23"/>
      <c r="G59" s="24"/>
      <c r="H59" s="13"/>
      <c r="I59" s="14"/>
      <c r="J59" s="15"/>
      <c r="K59" s="16"/>
      <c r="L59" s="11" t="str">
        <f t="shared" si="2"/>
        <v/>
      </c>
      <c r="M59" t="str">
        <f t="shared" si="4"/>
        <v/>
      </c>
    </row>
    <row r="60" spans="3:13" x14ac:dyDescent="0.3">
      <c r="C60" s="23"/>
      <c r="D60" s="23"/>
      <c r="E60" s="23"/>
      <c r="F60" s="23"/>
      <c r="G60" s="24"/>
      <c r="H60" s="13"/>
      <c r="I60" s="14"/>
      <c r="J60" s="15"/>
      <c r="K60" s="16"/>
      <c r="L60" s="11" t="str">
        <f t="shared" si="2"/>
        <v/>
      </c>
      <c r="M60" t="str">
        <f t="shared" si="4"/>
        <v/>
      </c>
    </row>
    <row r="61" spans="3:13" x14ac:dyDescent="0.3">
      <c r="C61" s="23"/>
      <c r="D61" s="23"/>
      <c r="E61" s="23"/>
      <c r="F61" s="23"/>
      <c r="G61" s="24"/>
      <c r="H61" s="13"/>
      <c r="I61" s="14"/>
      <c r="J61" s="15"/>
      <c r="K61" s="16"/>
      <c r="L61" s="11"/>
    </row>
    <row r="62" spans="3:13" x14ac:dyDescent="0.3">
      <c r="C62" s="23"/>
      <c r="D62" s="23"/>
      <c r="E62" s="23"/>
      <c r="F62" s="23"/>
      <c r="G62" s="24"/>
      <c r="H62" s="13"/>
      <c r="I62" s="14"/>
      <c r="J62" s="15"/>
      <c r="K62" s="16"/>
      <c r="L62" s="11"/>
    </row>
    <row r="63" spans="3:13" x14ac:dyDescent="0.3">
      <c r="C63" s="23"/>
      <c r="D63" s="23"/>
      <c r="E63" s="23"/>
      <c r="F63" s="23"/>
      <c r="G63" s="24"/>
      <c r="H63" s="13"/>
      <c r="I63" s="14"/>
      <c r="J63" s="15"/>
      <c r="K63" s="16"/>
      <c r="L63" s="11"/>
    </row>
    <row r="64" spans="3:13" x14ac:dyDescent="0.3">
      <c r="C64" s="23"/>
      <c r="D64" s="23"/>
      <c r="E64" s="23"/>
      <c r="F64" s="23"/>
      <c r="G64" s="24"/>
      <c r="H64" s="13"/>
      <c r="I64" s="14"/>
      <c r="J64" s="15"/>
      <c r="K64" s="16"/>
      <c r="L64" s="11"/>
    </row>
    <row r="65" spans="3:13" x14ac:dyDescent="0.3">
      <c r="C65" s="23"/>
      <c r="D65" s="23"/>
      <c r="E65" s="23"/>
      <c r="F65" s="23"/>
      <c r="G65" s="24"/>
      <c r="H65" s="13"/>
      <c r="I65" s="14"/>
      <c r="J65" s="15"/>
      <c r="K65" s="16"/>
      <c r="L65" s="11"/>
    </row>
    <row r="66" spans="3:13" x14ac:dyDescent="0.3">
      <c r="C66" s="23"/>
      <c r="D66" s="23"/>
      <c r="E66" s="23"/>
      <c r="F66" s="23"/>
      <c r="G66" s="24"/>
      <c r="H66" s="13"/>
      <c r="I66" s="14"/>
      <c r="J66" s="15"/>
      <c r="K66" s="16"/>
      <c r="L66" s="11"/>
    </row>
    <row r="67" spans="3:13" x14ac:dyDescent="0.3">
      <c r="C67" s="23"/>
      <c r="D67" s="23"/>
      <c r="E67" s="23"/>
      <c r="F67" s="23"/>
      <c r="G67" s="24"/>
      <c r="H67" s="13"/>
      <c r="I67" s="14"/>
      <c r="J67" s="15"/>
      <c r="K67" s="16"/>
      <c r="L67" s="11"/>
    </row>
    <row r="68" spans="3:13" x14ac:dyDescent="0.3">
      <c r="C68" s="23"/>
      <c r="D68" s="23"/>
      <c r="E68" s="23"/>
      <c r="F68" s="23"/>
      <c r="G68" s="24"/>
      <c r="H68" s="13"/>
      <c r="I68" s="14"/>
      <c r="J68" s="15"/>
      <c r="K68" s="16"/>
      <c r="L68" s="11"/>
    </row>
    <row r="69" spans="3:13" x14ac:dyDescent="0.3">
      <c r="C69" s="23"/>
      <c r="D69" s="23"/>
      <c r="E69" s="23"/>
      <c r="F69" s="23"/>
      <c r="G69" s="24"/>
      <c r="H69" s="13"/>
      <c r="I69" s="14"/>
      <c r="J69" s="15"/>
      <c r="K69" s="16"/>
      <c r="L69" s="11"/>
    </row>
    <row r="70" spans="3:13" x14ac:dyDescent="0.3">
      <c r="C70" s="23"/>
      <c r="D70" s="23"/>
      <c r="E70" s="23"/>
      <c r="F70" s="23"/>
      <c r="G70" s="24"/>
      <c r="H70" s="13"/>
      <c r="I70" s="14"/>
      <c r="J70" s="15"/>
      <c r="K70" s="16"/>
      <c r="L70" s="11" t="str">
        <f t="shared" si="2"/>
        <v/>
      </c>
      <c r="M70" t="str">
        <f t="shared" si="4"/>
        <v/>
      </c>
    </row>
    <row r="71" spans="3:13" x14ac:dyDescent="0.3">
      <c r="C71" s="23"/>
      <c r="D71" s="23"/>
      <c r="E71" s="23"/>
      <c r="F71" s="23"/>
      <c r="G71" s="24"/>
      <c r="H71" s="13"/>
      <c r="I71" s="14"/>
      <c r="J71" s="15"/>
      <c r="K71" s="16"/>
      <c r="L71" s="11" t="str">
        <f t="shared" si="2"/>
        <v/>
      </c>
      <c r="M71" t="str">
        <f t="shared" si="4"/>
        <v/>
      </c>
    </row>
    <row r="72" spans="3:13" x14ac:dyDescent="0.3">
      <c r="C72" s="23"/>
      <c r="D72" s="23"/>
      <c r="E72" s="23"/>
      <c r="F72" s="23"/>
      <c r="G72" s="24"/>
      <c r="H72" s="13"/>
      <c r="I72" s="14"/>
      <c r="J72" s="15"/>
      <c r="K72" s="16"/>
      <c r="L72" s="11"/>
    </row>
    <row r="73" spans="3:13" x14ac:dyDescent="0.3">
      <c r="C73" s="23"/>
      <c r="D73" s="23"/>
      <c r="E73" s="23"/>
      <c r="F73" s="23"/>
      <c r="G73" s="24"/>
      <c r="H73" s="13"/>
      <c r="I73" s="14"/>
      <c r="J73" s="15"/>
      <c r="K73" s="16"/>
      <c r="L73" s="11"/>
    </row>
    <row r="74" spans="3:13" x14ac:dyDescent="0.3">
      <c r="C74" s="23"/>
      <c r="D74" s="23"/>
      <c r="E74" s="23"/>
      <c r="F74" s="23"/>
      <c r="G74" s="24"/>
      <c r="H74" s="13"/>
      <c r="I74" s="14"/>
      <c r="J74" s="15"/>
      <c r="K74" s="16"/>
      <c r="L74" s="11"/>
    </row>
    <row r="75" spans="3:13" x14ac:dyDescent="0.3">
      <c r="C75" s="23"/>
      <c r="D75" s="23"/>
      <c r="E75" s="23"/>
      <c r="F75" s="23"/>
      <c r="G75" s="24"/>
      <c r="H75" s="13"/>
      <c r="I75" s="14"/>
      <c r="J75" s="15"/>
      <c r="K75" s="16"/>
      <c r="L75" s="11"/>
    </row>
    <row r="76" spans="3:13" x14ac:dyDescent="0.3">
      <c r="C76" s="23"/>
      <c r="D76" s="23"/>
      <c r="E76" s="23"/>
      <c r="F76" s="23"/>
      <c r="G76" s="24"/>
      <c r="H76" s="13"/>
      <c r="I76" s="14"/>
      <c r="J76" s="15"/>
      <c r="K76" s="16"/>
      <c r="L76" s="11" t="str">
        <f t="shared" ref="L76:L77" si="5">IF(H76="","",(J76*H76))</f>
        <v/>
      </c>
      <c r="M76" t="str">
        <f t="shared" ref="M76:M77" si="6">IF(K76="","",K76)</f>
        <v/>
      </c>
    </row>
    <row r="77" spans="3:13" x14ac:dyDescent="0.3">
      <c r="C77" s="23"/>
      <c r="D77" s="23"/>
      <c r="E77" s="23"/>
      <c r="F77" s="23"/>
      <c r="G77" s="24"/>
      <c r="H77" s="13"/>
      <c r="I77" s="14"/>
      <c r="J77" s="15"/>
      <c r="K77" s="16"/>
      <c r="L77" s="11" t="str">
        <f t="shared" si="5"/>
        <v/>
      </c>
      <c r="M77" t="str">
        <f t="shared" si="6"/>
        <v/>
      </c>
    </row>
    <row r="78" spans="3:13" x14ac:dyDescent="0.3">
      <c r="C78" s="23"/>
      <c r="D78" s="23"/>
      <c r="E78" s="23"/>
      <c r="F78" s="23"/>
      <c r="G78" s="24"/>
      <c r="H78" s="13"/>
      <c r="I78" s="14"/>
      <c r="J78" s="15"/>
      <c r="K78" s="16"/>
      <c r="L78" s="11"/>
    </row>
    <row r="79" spans="3:13" x14ac:dyDescent="0.3">
      <c r="C79" s="23"/>
      <c r="D79" s="23"/>
      <c r="E79" s="23"/>
      <c r="F79" s="23"/>
      <c r="G79" s="24"/>
      <c r="H79" s="13"/>
      <c r="I79" s="14"/>
      <c r="J79" s="15"/>
      <c r="K79" s="16"/>
      <c r="L79" s="11"/>
    </row>
    <row r="80" spans="3:13" x14ac:dyDescent="0.3">
      <c r="C80" s="23"/>
      <c r="D80" s="23"/>
      <c r="E80" s="23"/>
      <c r="F80" s="23"/>
      <c r="G80" s="24"/>
      <c r="H80" s="13"/>
      <c r="I80" s="14"/>
      <c r="J80" s="15"/>
      <c r="K80" s="16"/>
      <c r="L80" s="11" t="str">
        <f t="shared" ref="L80:L81" si="7">IF(H80="","",(J80*H80))</f>
        <v/>
      </c>
      <c r="M80" t="str">
        <f t="shared" ref="M80:M81" si="8">IF(K80="","",K80)</f>
        <v/>
      </c>
    </row>
    <row r="81" spans="1:13" x14ac:dyDescent="0.3">
      <c r="C81" s="23"/>
      <c r="D81" s="23"/>
      <c r="E81" s="23"/>
      <c r="F81" s="23"/>
      <c r="G81" s="24"/>
      <c r="H81" s="13"/>
      <c r="I81" s="14"/>
      <c r="J81" s="15"/>
      <c r="K81" s="16"/>
      <c r="L81" s="11" t="str">
        <f t="shared" si="7"/>
        <v/>
      </c>
      <c r="M81" t="str">
        <f t="shared" si="8"/>
        <v/>
      </c>
    </row>
    <row r="82" spans="1:13" x14ac:dyDescent="0.3">
      <c r="C82" s="23"/>
      <c r="D82" s="23"/>
      <c r="E82" s="23"/>
      <c r="F82" s="23"/>
      <c r="G82" s="23"/>
      <c r="H82" s="13"/>
      <c r="I82" s="14"/>
      <c r="J82" s="15"/>
      <c r="K82" s="16"/>
      <c r="L82" s="11" t="str">
        <f t="shared" ref="L82:L84" si="9">IF(H82="","",(J82*H82))</f>
        <v/>
      </c>
      <c r="M82" t="str">
        <f t="shared" ref="M82:M84" si="10">IF(K82="","",K82)</f>
        <v/>
      </c>
    </row>
    <row r="83" spans="1:13" x14ac:dyDescent="0.3">
      <c r="C83" s="23"/>
      <c r="D83" s="23"/>
      <c r="E83" s="23"/>
      <c r="F83" s="23"/>
      <c r="G83" s="23"/>
      <c r="H83" s="13"/>
      <c r="I83" s="14"/>
      <c r="J83" s="15"/>
      <c r="K83" s="16"/>
      <c r="L83" s="11" t="str">
        <f t="shared" si="9"/>
        <v/>
      </c>
      <c r="M83" t="str">
        <f t="shared" si="10"/>
        <v/>
      </c>
    </row>
    <row r="84" spans="1:13" x14ac:dyDescent="0.3">
      <c r="C84" s="23"/>
      <c r="D84" s="23"/>
      <c r="E84" s="23"/>
      <c r="F84" s="23"/>
      <c r="G84" s="23"/>
      <c r="H84" s="13"/>
      <c r="I84" s="14"/>
      <c r="J84" s="15"/>
      <c r="K84" s="16"/>
      <c r="L84" s="11" t="str">
        <f t="shared" si="9"/>
        <v/>
      </c>
      <c r="M84" t="str">
        <f t="shared" si="10"/>
        <v/>
      </c>
    </row>
    <row r="85" spans="1:13" x14ac:dyDescent="0.3">
      <c r="C85" s="23"/>
      <c r="D85" s="23"/>
      <c r="E85" s="23"/>
      <c r="F85" s="23"/>
      <c r="G85" s="23"/>
      <c r="H85" s="13"/>
      <c r="I85" s="14"/>
      <c r="J85" s="15"/>
      <c r="K85" s="16"/>
      <c r="L85" s="11" t="str">
        <f t="shared" ref="L85" si="11">IF(H85="","",(J85*H85))</f>
        <v/>
      </c>
      <c r="M85" t="str">
        <f t="shared" ref="M85" si="12">IF(K85="","",K85)</f>
        <v/>
      </c>
    </row>
    <row r="86" spans="1:13" x14ac:dyDescent="0.3">
      <c r="B86" s="68" t="s">
        <v>88</v>
      </c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</row>
    <row r="87" spans="1:13" ht="14.25" customHeight="1" x14ac:dyDescent="0.3"/>
    <row r="88" spans="1:13" ht="69" customHeight="1" x14ac:dyDescent="0.3">
      <c r="A88" s="64"/>
      <c r="B88" s="64"/>
      <c r="C88" s="64"/>
      <c r="D88" s="64"/>
      <c r="E88" s="64"/>
      <c r="F88" s="64"/>
      <c r="G88" s="64"/>
      <c r="H88" s="64"/>
      <c r="I88" s="64"/>
      <c r="J88" s="1"/>
    </row>
    <row r="89" spans="1:13" ht="0.75" customHeight="1" x14ac:dyDescent="0.3"/>
    <row r="91" spans="1:13" ht="15.6" x14ac:dyDescent="0.3">
      <c r="B91" s="67" t="s">
        <v>85</v>
      </c>
      <c r="C91" s="67"/>
      <c r="D91" s="67"/>
      <c r="E91" s="67"/>
      <c r="F91" s="67"/>
      <c r="G91" s="67"/>
      <c r="H91" s="67" t="s">
        <v>7</v>
      </c>
      <c r="I91" s="67"/>
      <c r="J91" s="67" t="s">
        <v>6</v>
      </c>
      <c r="K91" s="67"/>
      <c r="L91" s="67" t="s">
        <v>5</v>
      </c>
      <c r="M91" s="67"/>
    </row>
    <row r="92" spans="1:13" x14ac:dyDescent="0.3">
      <c r="H92" s="13"/>
      <c r="I92" s="14"/>
      <c r="J92" s="15"/>
      <c r="K92" s="16"/>
      <c r="L92" s="11" t="str">
        <f t="shared" ref="L92" si="13">IF(H92="","",(J92*H92))</f>
        <v/>
      </c>
      <c r="M92" t="str">
        <f t="shared" ref="M92" si="14">IF(K92="","",K92)</f>
        <v/>
      </c>
    </row>
    <row r="93" spans="1:13" x14ac:dyDescent="0.3">
      <c r="H93" s="13"/>
      <c r="I93" s="14"/>
      <c r="J93" s="15"/>
      <c r="K93" s="16"/>
      <c r="L93" s="11" t="str">
        <f t="shared" ref="L93:L121" si="15">IF(H93="","",(J93*H93))</f>
        <v/>
      </c>
      <c r="M93" t="str">
        <f t="shared" ref="M93:M121" si="16">IF(K93="","",K93)</f>
        <v/>
      </c>
    </row>
    <row r="94" spans="1:13" x14ac:dyDescent="0.3">
      <c r="H94" s="13"/>
      <c r="I94" s="14"/>
      <c r="J94" s="15"/>
      <c r="K94" s="16"/>
      <c r="L94" s="11" t="str">
        <f t="shared" si="15"/>
        <v/>
      </c>
      <c r="M94" t="str">
        <f t="shared" si="16"/>
        <v/>
      </c>
    </row>
    <row r="95" spans="1:13" x14ac:dyDescent="0.3">
      <c r="H95" s="13"/>
      <c r="I95" s="14"/>
      <c r="J95" s="15"/>
      <c r="K95" s="16"/>
      <c r="L95" s="11" t="str">
        <f t="shared" si="15"/>
        <v/>
      </c>
      <c r="M95" t="str">
        <f t="shared" si="16"/>
        <v/>
      </c>
    </row>
    <row r="96" spans="1:13" x14ac:dyDescent="0.3">
      <c r="H96" s="13"/>
      <c r="I96" s="14"/>
      <c r="J96" s="15"/>
      <c r="K96" s="16"/>
      <c r="L96" s="11" t="str">
        <f t="shared" si="15"/>
        <v/>
      </c>
      <c r="M96" t="str">
        <f t="shared" si="16"/>
        <v/>
      </c>
    </row>
    <row r="97" spans="8:13" x14ac:dyDescent="0.3">
      <c r="H97" s="13"/>
      <c r="I97" s="14"/>
      <c r="J97" s="15"/>
      <c r="K97" s="16"/>
      <c r="L97" s="11" t="str">
        <f t="shared" si="15"/>
        <v/>
      </c>
      <c r="M97" t="str">
        <f t="shared" si="16"/>
        <v/>
      </c>
    </row>
    <row r="98" spans="8:13" x14ac:dyDescent="0.3">
      <c r="H98" s="13"/>
      <c r="I98" s="14"/>
      <c r="J98" s="15"/>
      <c r="K98" s="16"/>
      <c r="L98" s="11" t="str">
        <f t="shared" si="15"/>
        <v/>
      </c>
      <c r="M98" t="str">
        <f t="shared" si="16"/>
        <v/>
      </c>
    </row>
    <row r="99" spans="8:13" x14ac:dyDescent="0.3">
      <c r="H99" s="13"/>
      <c r="I99" s="14"/>
      <c r="J99" s="15"/>
      <c r="K99" s="16"/>
      <c r="L99" s="11" t="str">
        <f t="shared" si="15"/>
        <v/>
      </c>
      <c r="M99" t="str">
        <f t="shared" si="16"/>
        <v/>
      </c>
    </row>
    <row r="100" spans="8:13" x14ac:dyDescent="0.3">
      <c r="H100" s="13"/>
      <c r="I100" s="14"/>
      <c r="J100" s="15"/>
      <c r="K100" s="16"/>
      <c r="L100" s="11" t="str">
        <f t="shared" si="15"/>
        <v/>
      </c>
      <c r="M100" t="str">
        <f t="shared" si="16"/>
        <v/>
      </c>
    </row>
    <row r="101" spans="8:13" x14ac:dyDescent="0.3">
      <c r="H101" s="13"/>
      <c r="I101" s="14"/>
      <c r="J101" s="15"/>
      <c r="K101" s="16"/>
      <c r="L101" s="11" t="str">
        <f t="shared" si="15"/>
        <v/>
      </c>
      <c r="M101" t="str">
        <f t="shared" si="16"/>
        <v/>
      </c>
    </row>
    <row r="102" spans="8:13" x14ac:dyDescent="0.3">
      <c r="H102" s="13"/>
      <c r="I102" s="14"/>
      <c r="J102" s="15"/>
      <c r="K102" s="16"/>
      <c r="L102" s="11" t="str">
        <f t="shared" si="15"/>
        <v/>
      </c>
      <c r="M102" t="str">
        <f t="shared" si="16"/>
        <v/>
      </c>
    </row>
    <row r="103" spans="8:13" x14ac:dyDescent="0.3">
      <c r="H103" s="13"/>
      <c r="I103" s="14"/>
      <c r="J103" s="15"/>
      <c r="K103" s="16"/>
      <c r="L103" s="11" t="str">
        <f t="shared" si="15"/>
        <v/>
      </c>
      <c r="M103" t="str">
        <f t="shared" si="16"/>
        <v/>
      </c>
    </row>
    <row r="104" spans="8:13" x14ac:dyDescent="0.3">
      <c r="H104" s="13"/>
      <c r="I104" s="14"/>
      <c r="J104" s="15"/>
      <c r="K104" s="16"/>
      <c r="L104" s="11" t="str">
        <f t="shared" si="15"/>
        <v/>
      </c>
      <c r="M104" t="str">
        <f t="shared" si="16"/>
        <v/>
      </c>
    </row>
    <row r="105" spans="8:13" x14ac:dyDescent="0.3">
      <c r="H105" s="13"/>
      <c r="I105" s="14"/>
      <c r="J105" s="15"/>
      <c r="K105" s="16"/>
      <c r="L105" s="11" t="str">
        <f t="shared" si="15"/>
        <v/>
      </c>
      <c r="M105" t="str">
        <f t="shared" si="16"/>
        <v/>
      </c>
    </row>
    <row r="106" spans="8:13" x14ac:dyDescent="0.3">
      <c r="H106" s="13"/>
      <c r="I106" s="14"/>
      <c r="J106" s="15"/>
      <c r="K106" s="16"/>
      <c r="L106" s="11" t="str">
        <f t="shared" si="15"/>
        <v/>
      </c>
      <c r="M106" t="str">
        <f t="shared" si="16"/>
        <v/>
      </c>
    </row>
    <row r="107" spans="8:13" x14ac:dyDescent="0.3">
      <c r="H107" s="13"/>
      <c r="I107" s="14"/>
      <c r="J107" s="15"/>
      <c r="K107" s="16"/>
      <c r="L107" s="11" t="str">
        <f t="shared" si="15"/>
        <v/>
      </c>
      <c r="M107" t="str">
        <f t="shared" si="16"/>
        <v/>
      </c>
    </row>
    <row r="108" spans="8:13" x14ac:dyDescent="0.3">
      <c r="H108" s="13"/>
      <c r="I108" s="14"/>
      <c r="J108" s="15"/>
      <c r="K108" s="16"/>
      <c r="L108" s="11" t="str">
        <f t="shared" si="15"/>
        <v/>
      </c>
      <c r="M108" t="str">
        <f t="shared" si="16"/>
        <v/>
      </c>
    </row>
    <row r="109" spans="8:13" x14ac:dyDescent="0.3">
      <c r="H109" s="13"/>
      <c r="I109" s="14"/>
      <c r="J109" s="15"/>
      <c r="K109" s="16"/>
      <c r="L109" s="11" t="str">
        <f t="shared" si="15"/>
        <v/>
      </c>
      <c r="M109" t="str">
        <f t="shared" si="16"/>
        <v/>
      </c>
    </row>
    <row r="110" spans="8:13" x14ac:dyDescent="0.3">
      <c r="H110" s="13"/>
      <c r="I110" s="14"/>
      <c r="J110" s="15"/>
      <c r="K110" s="16"/>
      <c r="L110" s="11" t="str">
        <f t="shared" si="15"/>
        <v/>
      </c>
      <c r="M110" t="str">
        <f t="shared" si="16"/>
        <v/>
      </c>
    </row>
    <row r="111" spans="8:13" x14ac:dyDescent="0.3">
      <c r="H111" s="13"/>
      <c r="I111" s="14"/>
      <c r="J111" s="15"/>
      <c r="K111" s="16"/>
      <c r="L111" s="11" t="str">
        <f t="shared" si="15"/>
        <v/>
      </c>
      <c r="M111" t="str">
        <f t="shared" si="16"/>
        <v/>
      </c>
    </row>
    <row r="112" spans="8:13" x14ac:dyDescent="0.3">
      <c r="H112" s="13"/>
      <c r="I112" s="14"/>
      <c r="J112" s="15"/>
      <c r="K112" s="16"/>
      <c r="L112" s="11" t="str">
        <f t="shared" si="15"/>
        <v/>
      </c>
      <c r="M112" t="str">
        <f t="shared" si="16"/>
        <v/>
      </c>
    </row>
    <row r="113" spans="2:13" x14ac:dyDescent="0.3">
      <c r="H113" s="13"/>
      <c r="I113" s="14"/>
      <c r="J113" s="15"/>
      <c r="K113" s="16"/>
      <c r="L113" s="11" t="str">
        <f t="shared" si="15"/>
        <v/>
      </c>
      <c r="M113" t="str">
        <f t="shared" si="16"/>
        <v/>
      </c>
    </row>
    <row r="114" spans="2:13" x14ac:dyDescent="0.3">
      <c r="H114" s="13"/>
      <c r="I114" s="14"/>
      <c r="J114" s="15"/>
      <c r="K114" s="16"/>
      <c r="L114" s="11" t="str">
        <f t="shared" si="15"/>
        <v/>
      </c>
      <c r="M114" t="str">
        <f t="shared" si="16"/>
        <v/>
      </c>
    </row>
    <row r="115" spans="2:13" x14ac:dyDescent="0.3">
      <c r="H115" s="13"/>
      <c r="I115" s="14"/>
      <c r="J115" s="15"/>
      <c r="K115" s="16"/>
      <c r="L115" s="11" t="str">
        <f t="shared" si="15"/>
        <v/>
      </c>
      <c r="M115" t="str">
        <f t="shared" si="16"/>
        <v/>
      </c>
    </row>
    <row r="116" spans="2:13" x14ac:dyDescent="0.3">
      <c r="H116" s="13"/>
      <c r="I116" s="14"/>
      <c r="J116" s="15"/>
      <c r="K116" s="16"/>
      <c r="L116" s="11" t="str">
        <f t="shared" si="15"/>
        <v/>
      </c>
      <c r="M116" t="str">
        <f t="shared" si="16"/>
        <v/>
      </c>
    </row>
    <row r="117" spans="2:13" x14ac:dyDescent="0.3">
      <c r="H117" s="13"/>
      <c r="I117" s="14"/>
      <c r="J117" s="15"/>
      <c r="K117" s="16"/>
      <c r="L117" s="11" t="str">
        <f t="shared" si="15"/>
        <v/>
      </c>
      <c r="M117" t="str">
        <f t="shared" si="16"/>
        <v/>
      </c>
    </row>
    <row r="118" spans="2:13" x14ac:dyDescent="0.3">
      <c r="H118" s="13"/>
      <c r="I118" s="14"/>
      <c r="J118" s="15"/>
      <c r="K118" s="16"/>
      <c r="L118" s="11" t="str">
        <f t="shared" si="15"/>
        <v/>
      </c>
      <c r="M118" t="str">
        <f t="shared" si="16"/>
        <v/>
      </c>
    </row>
    <row r="119" spans="2:13" x14ac:dyDescent="0.3">
      <c r="H119" s="13"/>
      <c r="I119" s="14"/>
      <c r="J119" s="15"/>
      <c r="K119" s="16"/>
      <c r="L119" s="11" t="str">
        <f t="shared" si="15"/>
        <v/>
      </c>
      <c r="M119" t="str">
        <f t="shared" si="16"/>
        <v/>
      </c>
    </row>
    <row r="120" spans="2:13" x14ac:dyDescent="0.3">
      <c r="H120" s="13"/>
      <c r="I120" s="14"/>
      <c r="J120" s="15"/>
      <c r="K120" s="16"/>
      <c r="L120" s="11" t="str">
        <f t="shared" si="15"/>
        <v/>
      </c>
      <c r="M120" t="str">
        <f t="shared" si="16"/>
        <v/>
      </c>
    </row>
    <row r="121" spans="2:13" x14ac:dyDescent="0.3">
      <c r="H121" s="13"/>
      <c r="I121" s="14"/>
      <c r="J121" s="15"/>
      <c r="K121" s="16"/>
      <c r="L121" s="11" t="str">
        <f t="shared" si="15"/>
        <v/>
      </c>
      <c r="M121" t="str">
        <f t="shared" si="16"/>
        <v/>
      </c>
    </row>
    <row r="122" spans="2:13" ht="5.4" customHeight="1" x14ac:dyDescent="0.3"/>
    <row r="123" spans="2:13" ht="15.6" customHeight="1" x14ac:dyDescent="0.3">
      <c r="B123" s="72" t="s">
        <v>135</v>
      </c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</row>
    <row r="124" spans="2:13" ht="15.6" customHeight="1" x14ac:dyDescent="0.35">
      <c r="C124" s="18" t="s">
        <v>76</v>
      </c>
      <c r="D124" s="9"/>
      <c r="E124" s="10"/>
      <c r="F124" s="17"/>
      <c r="G124" s="73" t="s">
        <v>89</v>
      </c>
      <c r="H124" s="73"/>
      <c r="I124" s="73"/>
      <c r="J124" s="73"/>
      <c r="K124" s="73"/>
      <c r="L124" s="74"/>
      <c r="M124" s="73"/>
    </row>
    <row r="125" spans="2:13" ht="15.6" customHeight="1" x14ac:dyDescent="0.3">
      <c r="B125" s="75" t="s">
        <v>136</v>
      </c>
      <c r="C125" s="75"/>
      <c r="D125" s="75"/>
      <c r="E125" s="75"/>
      <c r="F125" s="75"/>
      <c r="G125" s="75"/>
      <c r="H125" s="75"/>
      <c r="I125" s="75"/>
      <c r="J125" s="76" t="s">
        <v>90</v>
      </c>
      <c r="K125" s="76"/>
      <c r="L125" s="76"/>
      <c r="M125" s="76"/>
    </row>
    <row r="126" spans="2:13" ht="18" x14ac:dyDescent="0.35">
      <c r="E126" s="77" t="s">
        <v>86</v>
      </c>
      <c r="F126" s="77"/>
      <c r="G126" s="77"/>
      <c r="H126" s="77"/>
      <c r="I126" s="77"/>
      <c r="J126" s="77"/>
    </row>
    <row r="127" spans="2:13" ht="8.4" customHeight="1" x14ac:dyDescent="0.3"/>
    <row r="128" spans="2:13" x14ac:dyDescent="0.3">
      <c r="B128" s="78" t="s">
        <v>87</v>
      </c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</row>
    <row r="129" spans="2:13" x14ac:dyDescent="0.3"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</row>
    <row r="130" spans="2:13" x14ac:dyDescent="0.3">
      <c r="B130" s="68" t="s">
        <v>88</v>
      </c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</row>
  </sheetData>
  <sheetProtection formatCells="0" formatColumns="0" formatRows="0" selectLockedCells="1"/>
  <mergeCells count="35">
    <mergeCell ref="E126:J126"/>
    <mergeCell ref="B128:M129"/>
    <mergeCell ref="B130:M130"/>
    <mergeCell ref="A88:I88"/>
    <mergeCell ref="B91:G91"/>
    <mergeCell ref="H91:I91"/>
    <mergeCell ref="J91:K91"/>
    <mergeCell ref="L91:M91"/>
    <mergeCell ref="B9:M9"/>
    <mergeCell ref="B123:M123"/>
    <mergeCell ref="G124:M124"/>
    <mergeCell ref="B125:I125"/>
    <mergeCell ref="J125:M125"/>
    <mergeCell ref="B86:M86"/>
    <mergeCell ref="A1:I1"/>
    <mergeCell ref="H4:M5"/>
    <mergeCell ref="B2:E4"/>
    <mergeCell ref="H2:M3"/>
    <mergeCell ref="J47:K47"/>
    <mergeCell ref="L47:M47"/>
    <mergeCell ref="A44:I44"/>
    <mergeCell ref="B42:M42"/>
    <mergeCell ref="B47:G47"/>
    <mergeCell ref="H47:I47"/>
    <mergeCell ref="L10:M10"/>
    <mergeCell ref="B10:G10"/>
    <mergeCell ref="J10:K10"/>
    <mergeCell ref="H10:I10"/>
    <mergeCell ref="H6:I6"/>
    <mergeCell ref="J6:K6"/>
    <mergeCell ref="I7:N7"/>
    <mergeCell ref="G7:H7"/>
    <mergeCell ref="C6:D6"/>
    <mergeCell ref="B7:C7"/>
    <mergeCell ref="D7:E7"/>
  </mergeCells>
  <pageMargins left="0.25" right="0.25" top="0.75" bottom="0.75" header="0" footer="0.3"/>
  <pageSetup orientation="portrait" r:id="rId1"/>
  <headerFooter>
    <oddHeader>&amp;C&amp;"-,Bold"&amp;12&amp;K00-004
&amp;U___________________________________________________________________________________</oddHeader>
    <oddFooter xml:space="preserve">&amp;C&amp;"-,Bold"&amp;12&amp;K00-031___________________________________________________________________________________
Lázaro Cárdenas #4559 Col. Gabriel Rodríguez. Tijuana, B.C. Tel: (664) 661 7251  
Email: contacto@idmingenieria.com 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Sheet3!$F$6:$F$8</xm:f>
          </x14:formula1>
          <xm:sqref>E126:J126</xm:sqref>
        </x14:dataValidation>
        <x14:dataValidation type="list" allowBlank="1" showInputMessage="1" showErrorMessage="1" xr:uid="{00000000-0002-0000-0000-000001000000}">
          <x14:formula1>
            <xm:f>Sheet3!$C$6:$C$10</xm:f>
          </x14:formula1>
          <xm:sqref>I11:I41 I48:I85 I92:I121</xm:sqref>
        </x14:dataValidation>
        <x14:dataValidation type="list" allowBlank="1" showInputMessage="1" showErrorMessage="1" xr:uid="{00000000-0002-0000-0000-000002000000}">
          <x14:formula1>
            <xm:f>Sheet3!$E$6:$E$8</xm:f>
          </x14:formula1>
          <xm:sqref>K11:K41 K48:K85 K92:K121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103BD-AA4F-41CC-A498-9B6733CA7732}">
  <dimension ref="A5:E88"/>
  <sheetViews>
    <sheetView topLeftCell="A4" workbookViewId="0">
      <selection activeCell="H14" sqref="H14"/>
    </sheetView>
  </sheetViews>
  <sheetFormatPr defaultColWidth="9.109375" defaultRowHeight="14.4" x14ac:dyDescent="0.3"/>
  <cols>
    <col min="1" max="1" width="30.109375" bestFit="1" customWidth="1"/>
    <col min="2" max="2" width="18" customWidth="1"/>
    <col min="3" max="3" width="18.6640625" customWidth="1"/>
    <col min="4" max="4" width="36" customWidth="1"/>
    <col min="5" max="5" width="16.109375" bestFit="1" customWidth="1"/>
    <col min="8" max="8" width="41.109375" customWidth="1"/>
    <col min="9" max="9" width="23.44140625" customWidth="1"/>
  </cols>
  <sheetData>
    <row r="5" spans="1:5" x14ac:dyDescent="0.3">
      <c r="A5" s="3"/>
    </row>
    <row r="6" spans="1:5" x14ac:dyDescent="0.3">
      <c r="A6" s="3" t="s">
        <v>114</v>
      </c>
      <c r="B6" t="s">
        <v>7</v>
      </c>
      <c r="C6" t="s">
        <v>6</v>
      </c>
      <c r="D6" t="s">
        <v>109</v>
      </c>
      <c r="E6" t="s">
        <v>102</v>
      </c>
    </row>
    <row r="7" spans="1:5" x14ac:dyDescent="0.3">
      <c r="C7">
        <v>0</v>
      </c>
      <c r="D7">
        <f>Table22[[#This Row],[Cantidad]]*Table22[[#This Row],[Precio Unitario]]</f>
        <v>0</v>
      </c>
      <c r="E7" t="str">
        <f>LEFT(Table22[[#This Row],[Sistema Mecanico]],13)</f>
        <v/>
      </c>
    </row>
    <row r="8" spans="1:5" x14ac:dyDescent="0.3">
      <c r="C8">
        <v>0</v>
      </c>
      <c r="D8">
        <f>Table22[[#This Row],[Cantidad]]*Table22[[#This Row],[Precio Unitario]]</f>
        <v>0</v>
      </c>
      <c r="E8" t="str">
        <f>LEFT(Table22[[#This Row],[Sistema Mecanico]],13)</f>
        <v/>
      </c>
    </row>
    <row r="9" spans="1:5" x14ac:dyDescent="0.3">
      <c r="C9">
        <v>0</v>
      </c>
      <c r="D9">
        <f>Table22[[#This Row],[Cantidad]]*Table22[[#This Row],[Precio Unitario]]</f>
        <v>0</v>
      </c>
      <c r="E9" t="str">
        <f>LEFT(Table22[[#This Row],[Sistema Mecanico]],13)</f>
        <v/>
      </c>
    </row>
    <row r="10" spans="1:5" x14ac:dyDescent="0.3">
      <c r="C10">
        <v>0</v>
      </c>
      <c r="D10">
        <f>Table22[[#This Row],[Cantidad]]*Table22[[#This Row],[Precio Unitario]]</f>
        <v>0</v>
      </c>
      <c r="E10" t="str">
        <f>LEFT(Table22[[#This Row],[Sistema Mecanico]],13)</f>
        <v/>
      </c>
    </row>
    <row r="11" spans="1:5" x14ac:dyDescent="0.3">
      <c r="C11">
        <v>0</v>
      </c>
      <c r="D11">
        <f>Table22[[#This Row],[Cantidad]]*Table22[[#This Row],[Precio Unitario]]</f>
        <v>0</v>
      </c>
      <c r="E11" t="str">
        <f>LEFT(Table22[[#This Row],[Sistema Mecanico]],13)</f>
        <v/>
      </c>
    </row>
    <row r="12" spans="1:5" x14ac:dyDescent="0.3">
      <c r="C12">
        <v>0</v>
      </c>
      <c r="D12">
        <f>Table22[[#This Row],[Cantidad]]*Table22[[#This Row],[Precio Unitario]]</f>
        <v>0</v>
      </c>
      <c r="E12" t="str">
        <f>LEFT(Table22[[#This Row],[Sistema Mecanico]],13)</f>
        <v/>
      </c>
    </row>
    <row r="13" spans="1:5" x14ac:dyDescent="0.3">
      <c r="C13">
        <v>0</v>
      </c>
      <c r="D13">
        <f>Table22[[#This Row],[Cantidad]]*Table22[[#This Row],[Precio Unitario]]</f>
        <v>0</v>
      </c>
      <c r="E13" t="str">
        <f>LEFT(Table22[[#This Row],[Sistema Mecanico]],13)</f>
        <v/>
      </c>
    </row>
    <row r="14" spans="1:5" x14ac:dyDescent="0.3">
      <c r="C14">
        <v>0</v>
      </c>
      <c r="D14">
        <f>Table22[[#This Row],[Cantidad]]*Table22[[#This Row],[Precio Unitario]]</f>
        <v>0</v>
      </c>
      <c r="E14" t="str">
        <f>LEFT(Table22[[#This Row],[Sistema Mecanico]],13)</f>
        <v/>
      </c>
    </row>
    <row r="15" spans="1:5" x14ac:dyDescent="0.3">
      <c r="C15">
        <v>0</v>
      </c>
      <c r="D15">
        <f>Table22[[#This Row],[Cantidad]]*Table22[[#This Row],[Precio Unitario]]</f>
        <v>0</v>
      </c>
      <c r="E15" t="str">
        <f>LEFT(Table22[[#This Row],[Sistema Mecanico]],13)</f>
        <v/>
      </c>
    </row>
    <row r="16" spans="1:5" x14ac:dyDescent="0.3">
      <c r="C16">
        <v>0</v>
      </c>
      <c r="D16">
        <f>Table22[[#This Row],[Cantidad]]*Table22[[#This Row],[Precio Unitario]]</f>
        <v>0</v>
      </c>
      <c r="E16" t="str">
        <f>LEFT(Table22[[#This Row],[Sistema Mecanico]],13)</f>
        <v/>
      </c>
    </row>
    <row r="17" spans="1:5" x14ac:dyDescent="0.3">
      <c r="C17">
        <v>0</v>
      </c>
      <c r="D17">
        <f>Table22[[#This Row],[Cantidad]]*Table22[[#This Row],[Precio Unitario]]</f>
        <v>0</v>
      </c>
      <c r="E17" t="str">
        <f>LEFT(Table22[[#This Row],[Sistema Mecanico]],13)</f>
        <v/>
      </c>
    </row>
    <row r="18" spans="1:5" x14ac:dyDescent="0.3">
      <c r="C18">
        <v>0</v>
      </c>
      <c r="D18">
        <f>Table22[[#This Row],[Cantidad]]*Table22[[#This Row],[Precio Unitario]]</f>
        <v>0</v>
      </c>
      <c r="E18" t="str">
        <f>LEFT(Table22[[#This Row],[Sistema Mecanico]],13)</f>
        <v/>
      </c>
    </row>
    <row r="19" spans="1:5" x14ac:dyDescent="0.3">
      <c r="C19">
        <v>0</v>
      </c>
      <c r="D19">
        <f>Table22[[#This Row],[Cantidad]]*Table22[[#This Row],[Precio Unitario]]</f>
        <v>0</v>
      </c>
      <c r="E19" t="str">
        <f>LEFT(Table22[[#This Row],[Sistema Mecanico]],13)</f>
        <v/>
      </c>
    </row>
    <row r="20" spans="1:5" x14ac:dyDescent="0.3">
      <c r="D20">
        <f>Table22[[#This Row],[Cantidad]]*Table22[[#This Row],[Precio Unitario]]</f>
        <v>0</v>
      </c>
      <c r="E20" t="str">
        <f>LEFT(Table22[[#This Row],[Sistema Mecanico]],13)</f>
        <v/>
      </c>
    </row>
    <row r="21" spans="1:5" x14ac:dyDescent="0.3">
      <c r="C21" s="45" t="s">
        <v>109</v>
      </c>
      <c r="D21" s="45">
        <f>SUM(D7:D20)</f>
        <v>0</v>
      </c>
    </row>
    <row r="22" spans="1:5" x14ac:dyDescent="0.3">
      <c r="D22">
        <f>Table22[[#Totals],[Total]]*1.3</f>
        <v>0</v>
      </c>
    </row>
    <row r="25" spans="1:5" x14ac:dyDescent="0.3">
      <c r="A25" t="s">
        <v>115</v>
      </c>
      <c r="B25" t="s">
        <v>7</v>
      </c>
      <c r="C25" t="s">
        <v>6</v>
      </c>
      <c r="D25" t="s">
        <v>109</v>
      </c>
    </row>
    <row r="26" spans="1:5" x14ac:dyDescent="0.3">
      <c r="A26">
        <v>0</v>
      </c>
      <c r="B26">
        <v>0</v>
      </c>
      <c r="C26">
        <v>0</v>
      </c>
      <c r="D26">
        <f>Table37[[#This Row],[Cantidad]]*Table37[[#This Row],[Precio Unitario]]</f>
        <v>0</v>
      </c>
    </row>
    <row r="27" spans="1:5" x14ac:dyDescent="0.3">
      <c r="A27">
        <v>0</v>
      </c>
      <c r="B27">
        <v>0</v>
      </c>
      <c r="C27">
        <v>0</v>
      </c>
      <c r="D27">
        <f>Table37[[#This Row],[Cantidad]]*Table37[[#This Row],[Precio Unitario]]</f>
        <v>0</v>
      </c>
    </row>
    <row r="28" spans="1:5" x14ac:dyDescent="0.3">
      <c r="A28">
        <v>0</v>
      </c>
      <c r="B28">
        <v>0</v>
      </c>
      <c r="C28">
        <v>0</v>
      </c>
      <c r="D28">
        <f>Table37[[#This Row],[Cantidad]]*Table37[[#This Row],[Precio Unitario]]</f>
        <v>0</v>
      </c>
    </row>
    <row r="29" spans="1:5" x14ac:dyDescent="0.3">
      <c r="A29">
        <v>0</v>
      </c>
      <c r="B29">
        <v>0</v>
      </c>
      <c r="C29">
        <v>0</v>
      </c>
      <c r="D29">
        <f>Table37[[#This Row],[Cantidad]]*Table37[[#This Row],[Precio Unitario]]</f>
        <v>0</v>
      </c>
    </row>
    <row r="30" spans="1:5" x14ac:dyDescent="0.3">
      <c r="A30">
        <v>0</v>
      </c>
      <c r="B30">
        <v>0</v>
      </c>
      <c r="C30">
        <v>0</v>
      </c>
      <c r="D30">
        <f>Table37[[#This Row],[Cantidad]]*Table37[[#This Row],[Precio Unitario]]</f>
        <v>0</v>
      </c>
    </row>
    <row r="31" spans="1:5" x14ac:dyDescent="0.3">
      <c r="A31">
        <v>0</v>
      </c>
      <c r="B31">
        <v>0</v>
      </c>
      <c r="C31">
        <v>0</v>
      </c>
      <c r="D31">
        <f>Table37[[#This Row],[Cantidad]]*Table37[[#This Row],[Precio Unitario]]</f>
        <v>0</v>
      </c>
    </row>
    <row r="32" spans="1:5" x14ac:dyDescent="0.3">
      <c r="A32">
        <v>0</v>
      </c>
      <c r="B32">
        <v>0</v>
      </c>
      <c r="C32">
        <v>0</v>
      </c>
      <c r="D32">
        <f>Table37[[#This Row],[Cantidad]]*Table37[[#This Row],[Precio Unitario]]</f>
        <v>0</v>
      </c>
    </row>
    <row r="33" spans="1:4" x14ac:dyDescent="0.3">
      <c r="A33">
        <v>0</v>
      </c>
      <c r="B33">
        <v>0</v>
      </c>
      <c r="C33">
        <v>0</v>
      </c>
      <c r="D33">
        <f>Table37[[#This Row],[Cantidad]]*Table37[[#This Row],[Precio Unitario]]</f>
        <v>0</v>
      </c>
    </row>
    <row r="34" spans="1:4" x14ac:dyDescent="0.3">
      <c r="C34" s="45" t="s">
        <v>109</v>
      </c>
      <c r="D34" s="45">
        <f>SUBTOTAL(109,Table37[Total])</f>
        <v>0</v>
      </c>
    </row>
    <row r="38" spans="1:4" x14ac:dyDescent="0.3">
      <c r="A38" t="s">
        <v>116</v>
      </c>
      <c r="B38" t="s">
        <v>7</v>
      </c>
      <c r="C38" t="s">
        <v>6</v>
      </c>
      <c r="D38" t="s">
        <v>109</v>
      </c>
    </row>
    <row r="39" spans="1:4" x14ac:dyDescent="0.3">
      <c r="A39">
        <v>0</v>
      </c>
      <c r="B39">
        <v>0</v>
      </c>
      <c r="C39">
        <v>0</v>
      </c>
      <c r="D39">
        <f>Table410[[#This Row],[Cantidad]]*Table410[[#This Row],[Precio Unitario]]</f>
        <v>0</v>
      </c>
    </row>
    <row r="40" spans="1:4" x14ac:dyDescent="0.3">
      <c r="A40">
        <v>0</v>
      </c>
      <c r="B40">
        <v>0</v>
      </c>
      <c r="C40">
        <v>0</v>
      </c>
      <c r="D40">
        <f>Table410[[#This Row],[Cantidad]]*Table410[[#This Row],[Precio Unitario]]</f>
        <v>0</v>
      </c>
    </row>
    <row r="41" spans="1:4" x14ac:dyDescent="0.3">
      <c r="A41">
        <v>0</v>
      </c>
      <c r="B41">
        <v>0</v>
      </c>
      <c r="C41">
        <v>0</v>
      </c>
      <c r="D41">
        <f>Table410[[#This Row],[Cantidad]]*Table410[[#This Row],[Precio Unitario]]</f>
        <v>0</v>
      </c>
    </row>
    <row r="42" spans="1:4" x14ac:dyDescent="0.3">
      <c r="A42">
        <v>0</v>
      </c>
      <c r="B42">
        <v>0</v>
      </c>
      <c r="C42">
        <v>0</v>
      </c>
      <c r="D42">
        <f>Table410[[#This Row],[Cantidad]]*Table410[[#This Row],[Precio Unitario]]</f>
        <v>0</v>
      </c>
    </row>
    <row r="43" spans="1:4" x14ac:dyDescent="0.3">
      <c r="A43">
        <v>0</v>
      </c>
      <c r="B43">
        <v>0</v>
      </c>
      <c r="C43">
        <v>0</v>
      </c>
      <c r="D43">
        <f>Table410[[#This Row],[Cantidad]]*Table410[[#This Row],[Precio Unitario]]</f>
        <v>0</v>
      </c>
    </row>
    <row r="44" spans="1:4" x14ac:dyDescent="0.3">
      <c r="A44">
        <v>0</v>
      </c>
      <c r="B44">
        <v>0</v>
      </c>
      <c r="C44">
        <v>0</v>
      </c>
      <c r="D44">
        <f>Table410[[#This Row],[Cantidad]]*Table410[[#This Row],[Precio Unitario]]</f>
        <v>0</v>
      </c>
    </row>
    <row r="45" spans="1:4" x14ac:dyDescent="0.3">
      <c r="A45">
        <v>0</v>
      </c>
      <c r="B45">
        <v>0</v>
      </c>
      <c r="C45">
        <v>0</v>
      </c>
      <c r="D45">
        <f>Table410[[#This Row],[Cantidad]]*Table410[[#This Row],[Precio Unitario]]</f>
        <v>0</v>
      </c>
    </row>
    <row r="46" spans="1:4" x14ac:dyDescent="0.3">
      <c r="A46">
        <v>0</v>
      </c>
      <c r="C46" s="45" t="s">
        <v>109</v>
      </c>
      <c r="D46" s="45">
        <f>SUBTOTAL(109,Table410[Total])</f>
        <v>0</v>
      </c>
    </row>
    <row r="52" spans="1:4" x14ac:dyDescent="0.3">
      <c r="A52" t="s">
        <v>117</v>
      </c>
      <c r="B52" t="s">
        <v>118</v>
      </c>
      <c r="C52" t="s">
        <v>119</v>
      </c>
      <c r="D52" t="s">
        <v>109</v>
      </c>
    </row>
    <row r="53" spans="1:4" x14ac:dyDescent="0.3">
      <c r="A53" t="s">
        <v>120</v>
      </c>
      <c r="B53">
        <v>0</v>
      </c>
      <c r="C53">
        <v>0</v>
      </c>
      <c r="D53">
        <f>Table511[[#This Row],[Costo Hr]]*Table511[[#This Row],[Qty Hrs]]</f>
        <v>0</v>
      </c>
    </row>
    <row r="54" spans="1:4" x14ac:dyDescent="0.3">
      <c r="A54" t="s">
        <v>121</v>
      </c>
      <c r="B54">
        <v>0</v>
      </c>
      <c r="C54">
        <v>0</v>
      </c>
      <c r="D54">
        <f>Table511[[#This Row],[Costo Hr]]*Table511[[#This Row],[Qty Hrs]]</f>
        <v>0</v>
      </c>
    </row>
    <row r="55" spans="1:4" x14ac:dyDescent="0.3">
      <c r="A55" t="s">
        <v>122</v>
      </c>
      <c r="B55">
        <v>0</v>
      </c>
      <c r="C55">
        <v>0</v>
      </c>
      <c r="D55">
        <f>Table511[[#This Row],[Costo Hr]]*Table511[[#This Row],[Qty Hrs]]</f>
        <v>0</v>
      </c>
    </row>
    <row r="56" spans="1:4" x14ac:dyDescent="0.3">
      <c r="A56" t="s">
        <v>123</v>
      </c>
      <c r="B56">
        <v>0</v>
      </c>
      <c r="C56">
        <v>0</v>
      </c>
      <c r="D56">
        <f>Table511[[#This Row],[Costo Hr]]*Table511[[#This Row],[Qty Hrs]]</f>
        <v>0</v>
      </c>
    </row>
    <row r="57" spans="1:4" x14ac:dyDescent="0.3">
      <c r="D57">
        <f>Table511[[#This Row],[Costo Hr]]*Table511[[#This Row],[Qty Hrs]]</f>
        <v>0</v>
      </c>
    </row>
    <row r="58" spans="1:4" x14ac:dyDescent="0.3">
      <c r="C58" s="46" t="s">
        <v>109</v>
      </c>
      <c r="D58" s="46">
        <f>SUBTOTAL(109,D53:D57)</f>
        <v>0</v>
      </c>
    </row>
    <row r="62" spans="1:4" x14ac:dyDescent="0.3">
      <c r="D62" s="44">
        <f>D58+D46+Table37[[#Totals],[Total]]+Table22[[#Totals],[Total]]</f>
        <v>0</v>
      </c>
    </row>
    <row r="75" spans="3:4" x14ac:dyDescent="0.3">
      <c r="C75" t="s">
        <v>124</v>
      </c>
      <c r="D75" t="s">
        <v>125</v>
      </c>
    </row>
    <row r="76" spans="3:4" x14ac:dyDescent="0.3">
      <c r="C76" t="s">
        <v>114</v>
      </c>
      <c r="D76">
        <f>Table22[[#Totals],[Total]]</f>
        <v>0</v>
      </c>
    </row>
    <row r="77" spans="3:4" x14ac:dyDescent="0.3">
      <c r="C77" t="s">
        <v>115</v>
      </c>
      <c r="D77">
        <f>Table37[[#Totals],[Total]]</f>
        <v>0</v>
      </c>
    </row>
    <row r="78" spans="3:4" x14ac:dyDescent="0.3">
      <c r="C78" t="s">
        <v>126</v>
      </c>
      <c r="D78">
        <f>D46</f>
        <v>0</v>
      </c>
    </row>
    <row r="79" spans="3:4" x14ac:dyDescent="0.3">
      <c r="C79" t="s">
        <v>127</v>
      </c>
      <c r="D79">
        <f>D58</f>
        <v>0</v>
      </c>
    </row>
    <row r="81" spans="3:4" x14ac:dyDescent="0.3">
      <c r="C81" t="s">
        <v>109</v>
      </c>
      <c r="D81" s="47" t="s">
        <v>125</v>
      </c>
    </row>
    <row r="82" spans="3:4" x14ac:dyDescent="0.3">
      <c r="C82" t="s">
        <v>109</v>
      </c>
      <c r="D82" s="47">
        <f>D76+D77+D78+D79</f>
        <v>0</v>
      </c>
    </row>
    <row r="83" spans="3:4" x14ac:dyDescent="0.3">
      <c r="C83" s="48" t="s">
        <v>128</v>
      </c>
      <c r="D83" s="47">
        <f>D82*0.3</f>
        <v>0</v>
      </c>
    </row>
    <row r="84" spans="3:4" x14ac:dyDescent="0.3">
      <c r="C84" s="49" t="s">
        <v>129</v>
      </c>
      <c r="D84" s="50">
        <f>SUM(D82:D83)</f>
        <v>0</v>
      </c>
    </row>
    <row r="87" spans="3:4" ht="15" thickBot="1" x14ac:dyDescent="0.35">
      <c r="C87" s="51" t="s">
        <v>130</v>
      </c>
      <c r="D87" s="51">
        <v>20</v>
      </c>
    </row>
    <row r="88" spans="3:4" ht="15" thickBot="1" x14ac:dyDescent="0.35">
      <c r="C88" s="52" t="s">
        <v>131</v>
      </c>
      <c r="D88" s="53">
        <f>D84*D87</f>
        <v>0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7E05F-8B0A-4795-8AF7-22BCADCD1DBD}">
  <dimension ref="A1:X18"/>
  <sheetViews>
    <sheetView workbookViewId="0">
      <selection activeCell="K24" sqref="K24"/>
    </sheetView>
  </sheetViews>
  <sheetFormatPr defaultColWidth="9.109375" defaultRowHeight="14.4" x14ac:dyDescent="0.3"/>
  <cols>
    <col min="3" max="3" width="11.44140625" customWidth="1"/>
    <col min="4" max="4" width="11" customWidth="1"/>
    <col min="5" max="5" width="10.6640625" customWidth="1"/>
    <col min="6" max="6" width="22.6640625" customWidth="1"/>
    <col min="7" max="8" width="11" customWidth="1"/>
    <col min="9" max="9" width="16.109375" customWidth="1"/>
    <col min="10" max="10" width="15.33203125" customWidth="1"/>
    <col min="12" max="12" width="15.109375" customWidth="1"/>
    <col min="14" max="14" width="14" customWidth="1"/>
    <col min="15" max="15" width="14.6640625" bestFit="1" customWidth="1"/>
    <col min="17" max="18" width="15.6640625" customWidth="1"/>
    <col min="19" max="19" width="11" customWidth="1"/>
    <col min="20" max="20" width="18.44140625" customWidth="1"/>
    <col min="21" max="21" width="11" customWidth="1"/>
  </cols>
  <sheetData>
    <row r="1" spans="1:24" ht="15.6" x14ac:dyDescent="0.3">
      <c r="A1" s="25"/>
      <c r="B1" s="25"/>
      <c r="C1" s="26"/>
      <c r="D1" s="27"/>
      <c r="E1" s="25"/>
      <c r="F1" s="25"/>
      <c r="G1" s="25"/>
      <c r="H1" s="25"/>
      <c r="I1" s="25" t="s">
        <v>91</v>
      </c>
      <c r="J1" s="25">
        <v>35</v>
      </c>
      <c r="K1" s="25"/>
      <c r="L1" s="25"/>
      <c r="M1" s="25"/>
      <c r="N1" s="25"/>
      <c r="O1" s="25"/>
      <c r="P1" s="25"/>
      <c r="Q1" s="28"/>
      <c r="R1" s="28"/>
      <c r="S1" s="25"/>
      <c r="T1" s="25"/>
      <c r="U1" s="25"/>
      <c r="V1" s="25"/>
      <c r="W1" s="25"/>
      <c r="X1" s="25"/>
    </row>
    <row r="2" spans="1:24" ht="15.6" x14ac:dyDescent="0.3">
      <c r="A2" s="25"/>
      <c r="B2" s="25"/>
      <c r="C2" s="26"/>
      <c r="D2" s="27"/>
      <c r="E2" s="25"/>
      <c r="F2" s="25"/>
      <c r="G2" s="25"/>
      <c r="H2" s="25"/>
      <c r="I2" s="25" t="s">
        <v>92</v>
      </c>
      <c r="J2" s="25">
        <v>45</v>
      </c>
      <c r="K2" s="25"/>
      <c r="L2" s="25"/>
      <c r="M2" s="25"/>
      <c r="N2" s="25" t="s">
        <v>93</v>
      </c>
      <c r="O2" s="25">
        <v>20</v>
      </c>
      <c r="P2" s="25"/>
      <c r="Q2" s="28"/>
      <c r="R2" s="28"/>
      <c r="S2" s="25"/>
      <c r="T2" s="25"/>
      <c r="U2" s="25"/>
      <c r="V2" s="25"/>
      <c r="W2" s="25"/>
      <c r="X2" s="25"/>
    </row>
    <row r="3" spans="1:24" ht="15.6" x14ac:dyDescent="0.3">
      <c r="A3" s="25"/>
      <c r="B3" s="25"/>
      <c r="C3" s="25"/>
      <c r="D3" s="27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8"/>
      <c r="R3" s="28"/>
      <c r="S3" s="25"/>
      <c r="T3" s="25"/>
      <c r="U3" s="25"/>
      <c r="V3" s="25"/>
      <c r="W3" s="25"/>
      <c r="X3" s="25"/>
    </row>
    <row r="4" spans="1:24" ht="15.6" x14ac:dyDescent="0.3">
      <c r="A4" s="25"/>
      <c r="B4" s="25"/>
      <c r="C4" s="26"/>
      <c r="D4" s="27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8"/>
      <c r="R4" s="28"/>
      <c r="S4" s="25"/>
      <c r="T4" s="25"/>
      <c r="U4" s="25"/>
      <c r="V4" s="25"/>
      <c r="W4" s="25"/>
      <c r="X4" s="25"/>
    </row>
    <row r="5" spans="1:24" ht="15.6" x14ac:dyDescent="0.3">
      <c r="A5" s="25"/>
      <c r="B5" s="25"/>
      <c r="C5" s="25"/>
      <c r="D5" s="27"/>
      <c r="E5" s="25"/>
      <c r="F5" s="29" t="s">
        <v>94</v>
      </c>
      <c r="G5" s="29" t="s">
        <v>95</v>
      </c>
      <c r="H5" s="29" t="s">
        <v>96</v>
      </c>
      <c r="I5" s="25"/>
      <c r="J5" s="25"/>
      <c r="K5" s="25"/>
      <c r="L5" s="25"/>
      <c r="M5" s="25"/>
      <c r="N5" s="25"/>
      <c r="O5" s="25"/>
      <c r="P5" s="25"/>
      <c r="Q5" s="28"/>
      <c r="R5" s="28"/>
      <c r="S5" s="25"/>
      <c r="T5" s="25"/>
      <c r="U5" s="25"/>
      <c r="V5" s="25"/>
      <c r="W5" s="25"/>
      <c r="X5" s="25"/>
    </row>
    <row r="6" spans="1:24" ht="15.6" x14ac:dyDescent="0.3">
      <c r="A6" s="25" t="s">
        <v>97</v>
      </c>
      <c r="B6" s="30" t="s">
        <v>98</v>
      </c>
      <c r="C6" s="31" t="s">
        <v>99</v>
      </c>
      <c r="D6" s="32" t="s">
        <v>7</v>
      </c>
      <c r="E6" s="30" t="s">
        <v>100</v>
      </c>
      <c r="F6" s="33" t="s">
        <v>101</v>
      </c>
      <c r="G6" s="33" t="s">
        <v>102</v>
      </c>
      <c r="H6" s="33" t="s">
        <v>103</v>
      </c>
      <c r="I6" s="30" t="s">
        <v>104</v>
      </c>
      <c r="J6" s="30" t="s">
        <v>105</v>
      </c>
      <c r="K6" s="33" t="s">
        <v>106</v>
      </c>
      <c r="L6" s="33" t="s">
        <v>91</v>
      </c>
      <c r="M6" s="33" t="s">
        <v>107</v>
      </c>
      <c r="N6" s="30" t="s">
        <v>108</v>
      </c>
      <c r="O6" s="30" t="s">
        <v>132</v>
      </c>
      <c r="P6" s="30" t="s">
        <v>133</v>
      </c>
      <c r="Q6" s="54" t="s">
        <v>110</v>
      </c>
      <c r="R6" s="34" t="s">
        <v>109</v>
      </c>
      <c r="S6" s="30" t="s">
        <v>134</v>
      </c>
      <c r="T6" s="30" t="s">
        <v>111</v>
      </c>
      <c r="U6" s="30" t="s">
        <v>112</v>
      </c>
      <c r="V6" s="3"/>
      <c r="W6" s="3"/>
      <c r="X6" s="3"/>
    </row>
    <row r="7" spans="1:24" ht="15.6" x14ac:dyDescent="0.3">
      <c r="A7" s="25"/>
      <c r="B7" s="35" t="s">
        <v>113</v>
      </c>
      <c r="C7" s="36"/>
      <c r="D7" s="37"/>
      <c r="E7" s="3"/>
      <c r="F7" s="3"/>
      <c r="G7" s="3"/>
      <c r="H7" s="3"/>
      <c r="I7" s="37"/>
      <c r="J7" s="3"/>
      <c r="K7" s="3"/>
      <c r="L7" s="3"/>
      <c r="M7" s="3"/>
      <c r="N7" s="3"/>
      <c r="O7" s="3"/>
      <c r="P7" s="3"/>
      <c r="Q7" s="4"/>
      <c r="R7" s="4"/>
      <c r="S7" s="3"/>
      <c r="T7" s="3"/>
      <c r="U7" s="3"/>
      <c r="V7" s="3"/>
      <c r="W7" s="3"/>
      <c r="X7" s="3"/>
    </row>
    <row r="8" spans="1:24" ht="15.6" x14ac:dyDescent="0.3">
      <c r="A8" s="25"/>
      <c r="B8" s="3"/>
      <c r="C8" s="38"/>
      <c r="D8" s="37"/>
      <c r="E8" s="3"/>
      <c r="F8" s="3"/>
      <c r="G8" s="3"/>
      <c r="H8" s="3"/>
      <c r="I8" s="37"/>
      <c r="J8" s="3"/>
      <c r="K8" s="3"/>
      <c r="L8" s="3"/>
      <c r="M8" s="3"/>
      <c r="N8" s="3"/>
      <c r="O8">
        <f>I8+(J8*J$2)+(K8*J$2)+(L8*J$1)+(M8*J$2)+N8</f>
        <v>0</v>
      </c>
      <c r="Q8" s="55">
        <f>O8*1.3</f>
        <v>0</v>
      </c>
      <c r="R8" s="39">
        <f>Table7[[#This Row],[P. Unit (30%)]]*D8</f>
        <v>0</v>
      </c>
      <c r="S8" s="3"/>
      <c r="T8">
        <f>Q8*O$2</f>
        <v>0</v>
      </c>
      <c r="U8" s="3"/>
      <c r="V8" s="3"/>
      <c r="W8" s="3"/>
      <c r="X8" s="3"/>
    </row>
    <row r="9" spans="1:24" ht="15.6" x14ac:dyDescent="0.3">
      <c r="A9" s="25">
        <v>1</v>
      </c>
      <c r="C9" s="40"/>
      <c r="D9" s="41"/>
      <c r="F9" s="42"/>
      <c r="G9" s="42"/>
      <c r="H9" s="42"/>
      <c r="I9" s="41"/>
      <c r="O9">
        <f>I9+(J9*J$2)+(K9*J$2)+(L9*J$1)+(M9*J$2)+N9</f>
        <v>0</v>
      </c>
      <c r="Q9" s="55">
        <f>O9*1.3</f>
        <v>0</v>
      </c>
      <c r="R9" s="39">
        <f>Table7[[#This Row],[P. Unit (30%)]]*D9</f>
        <v>0</v>
      </c>
      <c r="T9">
        <f t="shared" ref="T9:T18" si="0">Q9*O$2</f>
        <v>0</v>
      </c>
      <c r="X9">
        <f>((F9^2)+(G9^2))^(1/2)</f>
        <v>0</v>
      </c>
    </row>
    <row r="10" spans="1:24" ht="15.6" x14ac:dyDescent="0.3">
      <c r="A10" s="25">
        <v>2</v>
      </c>
      <c r="C10" s="40"/>
      <c r="D10" s="41"/>
      <c r="F10" s="42"/>
      <c r="G10" s="42"/>
      <c r="H10" s="42"/>
      <c r="I10" s="41"/>
      <c r="O10">
        <f t="shared" ref="O10:O18" si="1">I10+(J10*J$2)+(K10*J$2)+(L10*J$1)+(M10*J$2)+N10</f>
        <v>0</v>
      </c>
      <c r="Q10" s="55">
        <f t="shared" ref="Q10:Q18" si="2">O10*1.3</f>
        <v>0</v>
      </c>
      <c r="R10" s="39">
        <f>Table7[[#This Row],[P. Unit (30%)]]*D10</f>
        <v>0</v>
      </c>
      <c r="T10">
        <f t="shared" si="0"/>
        <v>0</v>
      </c>
      <c r="X10">
        <f t="shared" ref="X10:X18" si="3">((F10^2)+(G10^2))^(1/2)</f>
        <v>0</v>
      </c>
    </row>
    <row r="11" spans="1:24" ht="15.6" x14ac:dyDescent="0.3">
      <c r="A11" s="25">
        <v>3</v>
      </c>
      <c r="C11" s="40"/>
      <c r="D11" s="41"/>
      <c r="F11" s="42"/>
      <c r="G11" s="42"/>
      <c r="H11" s="42"/>
      <c r="I11" s="41"/>
      <c r="J11" s="43"/>
      <c r="K11" s="43"/>
      <c r="L11" s="43"/>
      <c r="M11" s="43"/>
      <c r="O11">
        <f t="shared" si="1"/>
        <v>0</v>
      </c>
      <c r="Q11" s="55">
        <f t="shared" si="2"/>
        <v>0</v>
      </c>
      <c r="R11" s="39">
        <f>Table7[[#This Row],[P. Unit (30%)]]*D11</f>
        <v>0</v>
      </c>
      <c r="T11">
        <f t="shared" si="0"/>
        <v>0</v>
      </c>
      <c r="X11">
        <f t="shared" si="3"/>
        <v>0</v>
      </c>
    </row>
    <row r="12" spans="1:24" ht="15.6" x14ac:dyDescent="0.3">
      <c r="A12" s="25">
        <v>4</v>
      </c>
      <c r="C12" s="40"/>
      <c r="D12" s="41"/>
      <c r="F12" s="42"/>
      <c r="G12" s="42"/>
      <c r="H12" s="42"/>
      <c r="I12" s="41"/>
      <c r="J12" s="43"/>
      <c r="K12" s="43"/>
      <c r="L12" s="43"/>
      <c r="M12" s="43"/>
      <c r="N12" s="43"/>
      <c r="O12">
        <f t="shared" si="1"/>
        <v>0</v>
      </c>
      <c r="Q12" s="55">
        <f t="shared" si="2"/>
        <v>0</v>
      </c>
      <c r="R12" s="39">
        <f>Table7[[#This Row],[P. Unit (30%)]]*D12</f>
        <v>0</v>
      </c>
      <c r="T12">
        <f t="shared" si="0"/>
        <v>0</v>
      </c>
      <c r="X12">
        <f t="shared" si="3"/>
        <v>0</v>
      </c>
    </row>
    <row r="13" spans="1:24" ht="15.6" x14ac:dyDescent="0.3">
      <c r="A13" s="25">
        <v>5</v>
      </c>
      <c r="C13" s="40"/>
      <c r="D13" s="41"/>
      <c r="F13" s="42"/>
      <c r="G13" s="42"/>
      <c r="H13" s="42"/>
      <c r="I13" s="41"/>
      <c r="J13" s="43"/>
      <c r="K13" s="43"/>
      <c r="L13" s="43"/>
      <c r="M13" s="43"/>
      <c r="N13" s="43"/>
      <c r="O13">
        <f t="shared" si="1"/>
        <v>0</v>
      </c>
      <c r="Q13" s="55">
        <f t="shared" si="2"/>
        <v>0</v>
      </c>
      <c r="R13" s="39">
        <f>Table7[[#This Row],[P. Unit (30%)]]*D13</f>
        <v>0</v>
      </c>
      <c r="T13">
        <f t="shared" si="0"/>
        <v>0</v>
      </c>
      <c r="X13">
        <f t="shared" si="3"/>
        <v>0</v>
      </c>
    </row>
    <row r="14" spans="1:24" ht="15.6" x14ac:dyDescent="0.3">
      <c r="A14" s="25">
        <v>6</v>
      </c>
      <c r="C14" s="40"/>
      <c r="D14" s="41"/>
      <c r="F14" s="42"/>
      <c r="G14" s="42"/>
      <c r="H14" s="42"/>
      <c r="I14" s="41"/>
      <c r="J14" s="43"/>
      <c r="K14" s="43"/>
      <c r="L14" s="43"/>
      <c r="M14" s="43"/>
      <c r="N14" s="43"/>
      <c r="O14">
        <f t="shared" si="1"/>
        <v>0</v>
      </c>
      <c r="Q14" s="55">
        <f t="shared" si="2"/>
        <v>0</v>
      </c>
      <c r="R14" s="39">
        <f>Table7[[#This Row],[P. Unit (30%)]]*D14</f>
        <v>0</v>
      </c>
      <c r="T14">
        <f t="shared" si="0"/>
        <v>0</v>
      </c>
      <c r="X14">
        <f t="shared" si="3"/>
        <v>0</v>
      </c>
    </row>
    <row r="15" spans="1:24" ht="15.6" x14ac:dyDescent="0.3">
      <c r="A15" s="25">
        <v>7</v>
      </c>
      <c r="C15" s="40"/>
      <c r="D15" s="41"/>
      <c r="F15" s="42"/>
      <c r="G15" s="42"/>
      <c r="H15" s="42"/>
      <c r="I15" s="41"/>
      <c r="J15" s="43"/>
      <c r="K15" s="43"/>
      <c r="L15" s="43"/>
      <c r="M15" s="43"/>
      <c r="N15" s="43"/>
      <c r="O15">
        <f t="shared" si="1"/>
        <v>0</v>
      </c>
      <c r="Q15" s="55">
        <f t="shared" si="2"/>
        <v>0</v>
      </c>
      <c r="R15" s="39">
        <f>Table7[[#This Row],[P. Unit (30%)]]*D15</f>
        <v>0</v>
      </c>
      <c r="T15">
        <f t="shared" si="0"/>
        <v>0</v>
      </c>
      <c r="X15">
        <f t="shared" si="3"/>
        <v>0</v>
      </c>
    </row>
    <row r="16" spans="1:24" ht="15.6" x14ac:dyDescent="0.3">
      <c r="A16" s="25">
        <v>8</v>
      </c>
      <c r="C16" s="40"/>
      <c r="D16" s="41"/>
      <c r="F16" s="42"/>
      <c r="G16" s="42"/>
      <c r="H16" s="42"/>
      <c r="I16" s="41"/>
      <c r="J16" s="43"/>
      <c r="K16" s="43"/>
      <c r="L16" s="43"/>
      <c r="M16" s="43"/>
      <c r="N16" s="43"/>
      <c r="O16">
        <f t="shared" si="1"/>
        <v>0</v>
      </c>
      <c r="Q16" s="55">
        <f t="shared" si="2"/>
        <v>0</v>
      </c>
      <c r="R16" s="39">
        <f>Table7[[#This Row],[P. Unit (30%)]]*D16</f>
        <v>0</v>
      </c>
      <c r="T16">
        <f t="shared" si="0"/>
        <v>0</v>
      </c>
      <c r="X16">
        <f t="shared" si="3"/>
        <v>0</v>
      </c>
    </row>
    <row r="17" spans="1:24" ht="15.6" x14ac:dyDescent="0.3">
      <c r="A17" s="25">
        <v>9</v>
      </c>
      <c r="C17" s="40"/>
      <c r="D17" s="41"/>
      <c r="F17" s="42"/>
      <c r="G17" s="42"/>
      <c r="H17" s="42"/>
      <c r="I17" s="41"/>
      <c r="J17" s="43"/>
      <c r="K17" s="43"/>
      <c r="L17" s="43"/>
      <c r="M17" s="43"/>
      <c r="N17" s="43"/>
      <c r="O17">
        <f t="shared" si="1"/>
        <v>0</v>
      </c>
      <c r="Q17" s="55">
        <f t="shared" si="2"/>
        <v>0</v>
      </c>
      <c r="R17" s="39">
        <f>Table7[[#This Row],[P. Unit (30%)]]*D17</f>
        <v>0</v>
      </c>
      <c r="T17">
        <f t="shared" si="0"/>
        <v>0</v>
      </c>
      <c r="X17">
        <f t="shared" si="3"/>
        <v>0</v>
      </c>
    </row>
    <row r="18" spans="1:24" ht="15.6" x14ac:dyDescent="0.3">
      <c r="A18" s="25">
        <v>10</v>
      </c>
      <c r="C18" s="40"/>
      <c r="D18" s="41"/>
      <c r="F18" s="42"/>
      <c r="G18" s="42"/>
      <c r="H18" s="42"/>
      <c r="I18" s="41"/>
      <c r="J18" s="43"/>
      <c r="K18" s="43"/>
      <c r="L18" s="43"/>
      <c r="M18" s="43"/>
      <c r="N18" s="43"/>
      <c r="O18">
        <f t="shared" si="1"/>
        <v>0</v>
      </c>
      <c r="Q18" s="55">
        <f t="shared" si="2"/>
        <v>0</v>
      </c>
      <c r="R18" s="39">
        <f>Table7[[#This Row],[P. Unit (30%)]]*D18</f>
        <v>0</v>
      </c>
      <c r="T18">
        <f t="shared" si="0"/>
        <v>0</v>
      </c>
      <c r="X18">
        <f t="shared" si="3"/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F10"/>
  <sheetViews>
    <sheetView topLeftCell="A10" workbookViewId="0">
      <selection activeCell="F13" sqref="F13"/>
    </sheetView>
  </sheetViews>
  <sheetFormatPr defaultColWidth="9.109375" defaultRowHeight="14.4" x14ac:dyDescent="0.3"/>
  <cols>
    <col min="1" max="1" width="19" bestFit="1" customWidth="1"/>
    <col min="3" max="3" width="17.5546875" customWidth="1"/>
    <col min="5" max="5" width="26.88671875" customWidth="1"/>
    <col min="6" max="6" width="46.33203125" customWidth="1"/>
  </cols>
  <sheetData>
    <row r="5" spans="1:6" x14ac:dyDescent="0.3">
      <c r="A5" t="s">
        <v>78</v>
      </c>
      <c r="C5" t="s">
        <v>68</v>
      </c>
      <c r="E5" t="s">
        <v>74</v>
      </c>
      <c r="F5" t="s">
        <v>79</v>
      </c>
    </row>
    <row r="6" spans="1:6" x14ac:dyDescent="0.3">
      <c r="C6" t="s">
        <v>69</v>
      </c>
      <c r="E6" t="s">
        <v>81</v>
      </c>
      <c r="F6" s="21" t="s">
        <v>86</v>
      </c>
    </row>
    <row r="7" spans="1:6" x14ac:dyDescent="0.3">
      <c r="A7" t="s">
        <v>77</v>
      </c>
      <c r="C7" t="s">
        <v>70</v>
      </c>
      <c r="E7" t="s">
        <v>80</v>
      </c>
      <c r="F7" s="2" t="s">
        <v>75</v>
      </c>
    </row>
    <row r="8" spans="1:6" x14ac:dyDescent="0.3">
      <c r="C8" t="s">
        <v>71</v>
      </c>
      <c r="F8" s="2" t="s">
        <v>137</v>
      </c>
    </row>
    <row r="9" spans="1:6" x14ac:dyDescent="0.3">
      <c r="C9" t="s">
        <v>73</v>
      </c>
    </row>
    <row r="10" spans="1:6" x14ac:dyDescent="0.3">
      <c r="C10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6:K81"/>
  <sheetViews>
    <sheetView workbookViewId="0">
      <selection activeCell="K9" sqref="K9"/>
    </sheetView>
  </sheetViews>
  <sheetFormatPr defaultColWidth="9.109375" defaultRowHeight="14.4" x14ac:dyDescent="0.3"/>
  <cols>
    <col min="3" max="3" width="57.88671875" customWidth="1"/>
    <col min="8" max="8" width="40.33203125" customWidth="1"/>
  </cols>
  <sheetData>
    <row r="6" spans="2:11" x14ac:dyDescent="0.3">
      <c r="B6" s="5"/>
      <c r="C6" s="6" t="s">
        <v>8</v>
      </c>
    </row>
    <row r="7" spans="2:11" x14ac:dyDescent="0.3">
      <c r="B7" s="5"/>
      <c r="C7" s="6" t="s">
        <v>9</v>
      </c>
    </row>
    <row r="8" spans="2:11" x14ac:dyDescent="0.3">
      <c r="B8" s="5"/>
      <c r="C8" s="6" t="s">
        <v>10</v>
      </c>
    </row>
    <row r="9" spans="2:11" ht="141" customHeight="1" x14ac:dyDescent="0.3">
      <c r="B9" s="5"/>
      <c r="C9" s="6" t="s">
        <v>11</v>
      </c>
      <c r="H9" s="19" t="s">
        <v>82</v>
      </c>
      <c r="K9" s="20" t="s">
        <v>83</v>
      </c>
    </row>
    <row r="10" spans="2:11" x14ac:dyDescent="0.3">
      <c r="B10" s="5"/>
      <c r="C10" s="7"/>
    </row>
    <row r="11" spans="2:11" x14ac:dyDescent="0.3">
      <c r="B11" s="5"/>
      <c r="C11" s="8" t="s">
        <v>12</v>
      </c>
    </row>
    <row r="12" spans="2:11" x14ac:dyDescent="0.3">
      <c r="B12" s="5"/>
      <c r="C12" s="8" t="s">
        <v>13</v>
      </c>
    </row>
    <row r="13" spans="2:11" x14ac:dyDescent="0.3">
      <c r="B13" s="5"/>
      <c r="C13" s="6" t="s">
        <v>14</v>
      </c>
    </row>
    <row r="14" spans="2:11" x14ac:dyDescent="0.3">
      <c r="B14" s="5"/>
      <c r="C14" s="7" t="s">
        <v>15</v>
      </c>
    </row>
    <row r="15" spans="2:11" x14ac:dyDescent="0.3">
      <c r="B15" s="5"/>
      <c r="C15" s="7" t="s">
        <v>16</v>
      </c>
    </row>
    <row r="16" spans="2:11" x14ac:dyDescent="0.3">
      <c r="B16" s="5"/>
      <c r="C16" s="6" t="s">
        <v>17</v>
      </c>
    </row>
    <row r="17" spans="2:3" x14ac:dyDescent="0.3">
      <c r="B17" s="5"/>
      <c r="C17" s="7"/>
    </row>
    <row r="18" spans="2:3" ht="28.8" x14ac:dyDescent="0.3">
      <c r="B18" s="5"/>
      <c r="C18" s="8" t="s">
        <v>18</v>
      </c>
    </row>
    <row r="19" spans="2:3" ht="28.8" x14ac:dyDescent="0.3">
      <c r="B19" s="5"/>
      <c r="C19" s="8" t="s">
        <v>19</v>
      </c>
    </row>
    <row r="20" spans="2:3" x14ac:dyDescent="0.3">
      <c r="B20" s="5"/>
      <c r="C20" s="7" t="s">
        <v>20</v>
      </c>
    </row>
    <row r="21" spans="2:3" x14ac:dyDescent="0.3">
      <c r="B21" s="5"/>
      <c r="C21" s="7"/>
    </row>
    <row r="22" spans="2:3" x14ac:dyDescent="0.3">
      <c r="B22" s="5"/>
      <c r="C22" s="8" t="s">
        <v>21</v>
      </c>
    </row>
    <row r="23" spans="2:3" x14ac:dyDescent="0.3">
      <c r="B23" s="5"/>
      <c r="C23" s="7" t="s">
        <v>22</v>
      </c>
    </row>
    <row r="24" spans="2:3" x14ac:dyDescent="0.3">
      <c r="B24" s="5"/>
      <c r="C24" s="7"/>
    </row>
    <row r="25" spans="2:3" ht="28.8" x14ac:dyDescent="0.3">
      <c r="B25" s="5"/>
      <c r="C25" s="8" t="s">
        <v>23</v>
      </c>
    </row>
    <row r="26" spans="2:3" ht="28.8" x14ac:dyDescent="0.3">
      <c r="B26" s="5"/>
      <c r="C26" s="7" t="s">
        <v>24</v>
      </c>
    </row>
    <row r="27" spans="2:3" x14ac:dyDescent="0.3">
      <c r="B27" s="5"/>
      <c r="C27" s="7"/>
    </row>
    <row r="28" spans="2:3" x14ac:dyDescent="0.3">
      <c r="B28" s="5"/>
      <c r="C28" s="8" t="s">
        <v>25</v>
      </c>
    </row>
    <row r="29" spans="2:3" x14ac:dyDescent="0.3">
      <c r="B29" s="5"/>
      <c r="C29" s="8" t="s">
        <v>26</v>
      </c>
    </row>
    <row r="30" spans="2:3" x14ac:dyDescent="0.3">
      <c r="B30" s="5"/>
      <c r="C30" s="6" t="s">
        <v>27</v>
      </c>
    </row>
    <row r="31" spans="2:3" x14ac:dyDescent="0.3">
      <c r="B31" s="5"/>
      <c r="C31" s="7" t="s">
        <v>28</v>
      </c>
    </row>
    <row r="32" spans="2:3" x14ac:dyDescent="0.3">
      <c r="B32" s="5"/>
      <c r="C32" s="7" t="s">
        <v>29</v>
      </c>
    </row>
    <row r="33" spans="2:3" x14ac:dyDescent="0.3">
      <c r="B33" s="5"/>
      <c r="C33" s="7" t="s">
        <v>30</v>
      </c>
    </row>
    <row r="34" spans="2:3" x14ac:dyDescent="0.3">
      <c r="B34" s="5"/>
      <c r="C34" s="7" t="s">
        <v>31</v>
      </c>
    </row>
    <row r="35" spans="2:3" x14ac:dyDescent="0.3">
      <c r="B35" s="5"/>
      <c r="C35" s="7" t="s">
        <v>32</v>
      </c>
    </row>
    <row r="36" spans="2:3" x14ac:dyDescent="0.3">
      <c r="B36" s="5"/>
      <c r="C36" s="7" t="s">
        <v>33</v>
      </c>
    </row>
    <row r="37" spans="2:3" x14ac:dyDescent="0.3">
      <c r="B37" s="5"/>
      <c r="C37" s="7" t="s">
        <v>34</v>
      </c>
    </row>
    <row r="38" spans="2:3" x14ac:dyDescent="0.3">
      <c r="B38" s="5"/>
      <c r="C38" s="7"/>
    </row>
    <row r="39" spans="2:3" x14ac:dyDescent="0.3">
      <c r="B39" s="5"/>
      <c r="C39" s="8" t="s">
        <v>35</v>
      </c>
    </row>
    <row r="40" spans="2:3" x14ac:dyDescent="0.3">
      <c r="B40" s="5"/>
      <c r="C40" s="6" t="s">
        <v>36</v>
      </c>
    </row>
    <row r="41" spans="2:3" x14ac:dyDescent="0.3">
      <c r="B41" s="5"/>
      <c r="C41" s="8" t="s">
        <v>37</v>
      </c>
    </row>
    <row r="42" spans="2:3" x14ac:dyDescent="0.3">
      <c r="B42" s="5"/>
      <c r="C42" s="6" t="s">
        <v>38</v>
      </c>
    </row>
    <row r="43" spans="2:3" x14ac:dyDescent="0.3">
      <c r="B43" s="5"/>
      <c r="C43" s="7"/>
    </row>
    <row r="44" spans="2:3" ht="28.8" x14ac:dyDescent="0.3">
      <c r="B44" s="5"/>
      <c r="C44" s="6" t="s">
        <v>39</v>
      </c>
    </row>
    <row r="45" spans="2:3" x14ac:dyDescent="0.3">
      <c r="B45" s="5"/>
      <c r="C45" s="8" t="s">
        <v>40</v>
      </c>
    </row>
    <row r="46" spans="2:3" x14ac:dyDescent="0.3">
      <c r="B46" s="5"/>
      <c r="C46" s="6" t="s">
        <v>41</v>
      </c>
    </row>
    <row r="47" spans="2:3" x14ac:dyDescent="0.3">
      <c r="B47" s="5"/>
      <c r="C47" s="6" t="s">
        <v>42</v>
      </c>
    </row>
    <row r="48" spans="2:3" ht="28.8" x14ac:dyDescent="0.3">
      <c r="B48" s="5"/>
      <c r="C48" s="7" t="s">
        <v>43</v>
      </c>
    </row>
    <row r="49" spans="2:3" ht="28.8" x14ac:dyDescent="0.3">
      <c r="B49" s="5"/>
      <c r="C49" s="7" t="s">
        <v>44</v>
      </c>
    </row>
    <row r="50" spans="2:3" ht="28.8" x14ac:dyDescent="0.3">
      <c r="B50" s="5"/>
      <c r="C50" s="7" t="s">
        <v>45</v>
      </c>
    </row>
    <row r="51" spans="2:3" ht="28.8" x14ac:dyDescent="0.3">
      <c r="B51" s="5"/>
      <c r="C51" s="7" t="s">
        <v>46</v>
      </c>
    </row>
    <row r="52" spans="2:3" ht="28.8" x14ac:dyDescent="0.3">
      <c r="B52" s="5"/>
      <c r="C52" s="7" t="s">
        <v>47</v>
      </c>
    </row>
    <row r="53" spans="2:3" ht="28.8" x14ac:dyDescent="0.3">
      <c r="B53" s="5"/>
      <c r="C53" s="7" t="s">
        <v>48</v>
      </c>
    </row>
    <row r="54" spans="2:3" x14ac:dyDescent="0.3">
      <c r="B54" s="5"/>
      <c r="C54" s="7" t="s">
        <v>49</v>
      </c>
    </row>
    <row r="55" spans="2:3" ht="28.8" x14ac:dyDescent="0.3">
      <c r="B55" s="5"/>
      <c r="C55" s="7" t="s">
        <v>50</v>
      </c>
    </row>
    <row r="56" spans="2:3" x14ac:dyDescent="0.3">
      <c r="B56" s="5"/>
      <c r="C56" s="7" t="s">
        <v>51</v>
      </c>
    </row>
    <row r="57" spans="2:3" x14ac:dyDescent="0.3">
      <c r="B57" s="5"/>
      <c r="C57" s="6" t="s">
        <v>17</v>
      </c>
    </row>
    <row r="58" spans="2:3" x14ac:dyDescent="0.3">
      <c r="B58" s="5"/>
      <c r="C58" s="6" t="s">
        <v>52</v>
      </c>
    </row>
    <row r="59" spans="2:3" x14ac:dyDescent="0.3">
      <c r="B59" s="5"/>
      <c r="C59" s="7"/>
    </row>
    <row r="60" spans="2:3" ht="28.8" x14ac:dyDescent="0.3">
      <c r="B60" s="5"/>
      <c r="C60" s="8" t="s">
        <v>53</v>
      </c>
    </row>
    <row r="61" spans="2:3" ht="28.8" x14ac:dyDescent="0.3">
      <c r="B61" s="5"/>
      <c r="C61" s="8" t="s">
        <v>54</v>
      </c>
    </row>
    <row r="62" spans="2:3" x14ac:dyDescent="0.3">
      <c r="B62" s="5"/>
      <c r="C62" s="7" t="s">
        <v>55</v>
      </c>
    </row>
    <row r="63" spans="2:3" x14ac:dyDescent="0.3">
      <c r="B63" s="5"/>
      <c r="C63" s="7"/>
    </row>
    <row r="64" spans="2:3" x14ac:dyDescent="0.3">
      <c r="B64" s="5"/>
      <c r="C64" s="8" t="s">
        <v>56</v>
      </c>
    </row>
    <row r="65" spans="2:3" x14ac:dyDescent="0.3">
      <c r="B65" s="5"/>
      <c r="C65" s="6" t="s">
        <v>57</v>
      </c>
    </row>
    <row r="66" spans="2:3" x14ac:dyDescent="0.3">
      <c r="B66" s="5"/>
      <c r="C66" s="6" t="s">
        <v>58</v>
      </c>
    </row>
    <row r="67" spans="2:3" x14ac:dyDescent="0.3">
      <c r="B67" s="5"/>
      <c r="C67" s="7"/>
    </row>
    <row r="68" spans="2:3" x14ac:dyDescent="0.3">
      <c r="B68" s="5"/>
      <c r="C68" s="8" t="s">
        <v>59</v>
      </c>
    </row>
    <row r="69" spans="2:3" x14ac:dyDescent="0.3">
      <c r="B69" s="5"/>
      <c r="C69" s="8" t="s">
        <v>60</v>
      </c>
    </row>
    <row r="70" spans="2:3" x14ac:dyDescent="0.3">
      <c r="B70" s="5"/>
      <c r="C70" s="6" t="s">
        <v>14</v>
      </c>
    </row>
    <row r="71" spans="2:3" x14ac:dyDescent="0.3">
      <c r="B71" s="5"/>
      <c r="C71" s="7" t="s">
        <v>61</v>
      </c>
    </row>
    <row r="72" spans="2:3" x14ac:dyDescent="0.3">
      <c r="B72" s="5"/>
      <c r="C72" s="7" t="s">
        <v>62</v>
      </c>
    </row>
    <row r="73" spans="2:3" x14ac:dyDescent="0.3">
      <c r="B73" s="5"/>
      <c r="C73" s="6" t="s">
        <v>17</v>
      </c>
    </row>
    <row r="74" spans="2:3" x14ac:dyDescent="0.3">
      <c r="B74" s="5"/>
      <c r="C74" s="7"/>
    </row>
    <row r="75" spans="2:3" x14ac:dyDescent="0.3">
      <c r="B75" s="5"/>
      <c r="C75" s="6" t="s">
        <v>63</v>
      </c>
    </row>
    <row r="76" spans="2:3" x14ac:dyDescent="0.3">
      <c r="B76" s="5"/>
      <c r="C76" s="7"/>
    </row>
    <row r="77" spans="2:3" ht="28.8" x14ac:dyDescent="0.3">
      <c r="B77" s="5"/>
      <c r="C77" s="8" t="s">
        <v>64</v>
      </c>
    </row>
    <row r="78" spans="2:3" x14ac:dyDescent="0.3">
      <c r="B78" s="5"/>
      <c r="C78" s="7" t="s">
        <v>65</v>
      </c>
    </row>
    <row r="79" spans="2:3" x14ac:dyDescent="0.3">
      <c r="B79" s="5"/>
      <c r="C79" s="7" t="s">
        <v>66</v>
      </c>
    </row>
    <row r="80" spans="2:3" x14ac:dyDescent="0.3">
      <c r="B80" s="5"/>
      <c r="C80" s="7"/>
    </row>
    <row r="81" spans="2:3" x14ac:dyDescent="0.3">
      <c r="B81" s="5"/>
      <c r="C81" s="6" t="s">
        <v>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Cotización</vt:lpstr>
      <vt:lpstr>Tabla de Costos</vt:lpstr>
      <vt:lpstr>Costos Maquinados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Guerrero Cuautle</dc:creator>
  <cp:lastModifiedBy>IDM Ingenieria</cp:lastModifiedBy>
  <cp:lastPrinted>2018-03-07T01:16:55Z</cp:lastPrinted>
  <dcterms:created xsi:type="dcterms:W3CDTF">2017-12-22T20:34:59Z</dcterms:created>
  <dcterms:modified xsi:type="dcterms:W3CDTF">2024-10-16T19:05:46Z</dcterms:modified>
</cp:coreProperties>
</file>